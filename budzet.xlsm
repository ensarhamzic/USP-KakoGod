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501" codeName="{5022B3EB-BCE5-7840-4BB8-8062D341818C}"/>
  <workbookPr filterPrivacy="1" showInkAnnotation="0" codeName="ThisWorkbook" defaultThemeVersion="124226"/>
  <xr:revisionPtr revIDLastSave="0" documentId="13_ncr:1_{8A644835-1597-4E98-B33E-23152F39888A}"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108" yWindow="-108" windowWidth="23256" windowHeight="12456" tabRatio="764" activeTab="2"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Stay'!$A$1:$S$36</definedName>
    <definedName name="_xlnm.Print_Area" localSheetId="2">'1. Staff costs'!$A$1:$U$35</definedName>
    <definedName name="_xlnm.Print_Area" localSheetId="4">'4. Equipment Costs'!$A$1:$J$24</definedName>
    <definedName name="_xlnm.Print_Area" localSheetId="5">'5. Subcontracting Costs'!$A$1:$J$17</definedName>
    <definedName name="_xlnm.Print_Area" localSheetId="7">'Breakdown &amp; Project Funding'!$A$1:$J$78</definedName>
    <definedName name="_xlnm.Print_Area" localSheetId="6">'Co-financing'!$A$1:$K$23</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Stay'!$36:$1048576,' 2-3-6. Travel&amp;Costs of Stay'!#REF!</definedName>
    <definedName name="Z_D7932BCF_3472_4742_BE90_75070A4D3346_.wvu.Rows" localSheetId="2" hidden="1">'1. Staff costs'!$35:$1048576,'1. Staff costs'!#REF!</definedName>
    <definedName name="Z_D7932BCF_3472_4742_BE90_75070A4D3346_.wvu.Rows" localSheetId="4" hidden="1">'4. Equipment Costs'!$24:$1048576,'4. Equipment Costs'!#REF!</definedName>
    <definedName name="Z_D7932BCF_3472_4742_BE90_75070A4D3346_.wvu.Rows" localSheetId="5" hidden="1">'5. Subcontracting Costs'!$17:$1048576,'5.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'Co-financing'!$19:$1048576,'Co-financing'!#REF!</definedName>
  </definedNames>
  <calcPr calcId="18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34" i="40" l="1"/>
  <c r="D34" i="40"/>
  <c r="T34" i="40" s="1"/>
  <c r="E33" i="40"/>
  <c r="D33" i="40"/>
  <c r="T33" i="40" s="1"/>
  <c r="E32" i="40"/>
  <c r="D32" i="40"/>
  <c r="E31" i="40"/>
  <c r="D31" i="40"/>
  <c r="T31" i="40" s="1"/>
  <c r="E30" i="40"/>
  <c r="D30" i="40"/>
  <c r="T30" i="40" s="1"/>
  <c r="E29" i="40"/>
  <c r="D29" i="40"/>
  <c r="E28" i="40"/>
  <c r="D28" i="40"/>
  <c r="E27" i="40"/>
  <c r="D27" i="40"/>
  <c r="T27" i="40" s="1"/>
  <c r="E26" i="40"/>
  <c r="D26" i="40"/>
  <c r="T26" i="40" s="1"/>
  <c r="E25" i="40"/>
  <c r="D25" i="40"/>
  <c r="E24" i="40"/>
  <c r="D24" i="40"/>
  <c r="E23" i="40"/>
  <c r="D23" i="40"/>
  <c r="T23" i="40" s="1"/>
  <c r="E22" i="40"/>
  <c r="D22" i="40"/>
  <c r="T22" i="40" s="1"/>
  <c r="E23" i="26"/>
  <c r="D23" i="26"/>
  <c r="I23" i="26" s="1"/>
  <c r="H23" i="26" s="1"/>
  <c r="E22" i="26"/>
  <c r="D22" i="26"/>
  <c r="I22" i="26" s="1"/>
  <c r="H22" i="26" s="1"/>
  <c r="E21" i="26"/>
  <c r="D21" i="26"/>
  <c r="I21" i="26" s="1"/>
  <c r="H21" i="26" s="1"/>
  <c r="N35" i="39"/>
  <c r="E35" i="39"/>
  <c r="D35" i="39"/>
  <c r="R35" i="39" s="1"/>
  <c r="E19" i="26"/>
  <c r="D19" i="26"/>
  <c r="E20" i="26"/>
  <c r="D20" i="26"/>
  <c r="N34" i="39"/>
  <c r="E34" i="39"/>
  <c r="D34" i="39"/>
  <c r="N33" i="39"/>
  <c r="E33" i="39"/>
  <c r="D33" i="39"/>
  <c r="N32" i="39"/>
  <c r="E32" i="39"/>
  <c r="D32" i="39"/>
  <c r="E21" i="40"/>
  <c r="D21" i="40"/>
  <c r="T21" i="40" s="1"/>
  <c r="E20" i="40"/>
  <c r="D20" i="40"/>
  <c r="E19" i="40"/>
  <c r="D19" i="40"/>
  <c r="E18" i="40"/>
  <c r="D18" i="40"/>
  <c r="T18" i="40" s="1"/>
  <c r="E17" i="40"/>
  <c r="D17" i="40"/>
  <c r="T17" i="40" s="1"/>
  <c r="E16" i="40"/>
  <c r="D16" i="40"/>
  <c r="E15" i="40"/>
  <c r="D15" i="40"/>
  <c r="D18" i="71"/>
  <c r="C18" i="71"/>
  <c r="J18" i="71" s="1"/>
  <c r="I18" i="71" s="1"/>
  <c r="D17" i="71"/>
  <c r="C17" i="71"/>
  <c r="J17" i="71" s="1"/>
  <c r="I17" i="71" s="1"/>
  <c r="D16" i="71"/>
  <c r="C16" i="71"/>
  <c r="J16" i="71" s="1"/>
  <c r="I16" i="71" s="1"/>
  <c r="D15" i="71"/>
  <c r="C15" i="71"/>
  <c r="J15" i="71" s="1"/>
  <c r="I15" i="71" s="1"/>
  <c r="E18" i="26"/>
  <c r="D18" i="26"/>
  <c r="E17" i="26"/>
  <c r="D17" i="26"/>
  <c r="E16" i="26"/>
  <c r="D16" i="26"/>
  <c r="J34" i="40" l="1"/>
  <c r="K34" i="40" s="1"/>
  <c r="R34" i="40"/>
  <c r="G34" i="40"/>
  <c r="H34" i="40" s="1"/>
  <c r="P34" i="40"/>
  <c r="Q34" i="40" s="1"/>
  <c r="M34" i="40"/>
  <c r="N34" i="40" s="1"/>
  <c r="R33" i="40"/>
  <c r="G33" i="40"/>
  <c r="H33" i="40" s="1"/>
  <c r="S33" i="40" s="1"/>
  <c r="P33" i="40"/>
  <c r="Q33" i="40" s="1"/>
  <c r="M33" i="40"/>
  <c r="N33" i="40" s="1"/>
  <c r="J33" i="40"/>
  <c r="K33" i="40" s="1"/>
  <c r="T16" i="40"/>
  <c r="T20" i="40"/>
  <c r="T25" i="40"/>
  <c r="T29" i="40"/>
  <c r="T15" i="40"/>
  <c r="R15" i="40" s="1"/>
  <c r="T24" i="40"/>
  <c r="R24" i="40" s="1"/>
  <c r="T32" i="40"/>
  <c r="R32" i="40" s="1"/>
  <c r="R31" i="40"/>
  <c r="R30" i="40"/>
  <c r="R29" i="40"/>
  <c r="T28" i="40"/>
  <c r="R27" i="40"/>
  <c r="R26" i="40"/>
  <c r="R25" i="40"/>
  <c r="R23" i="40"/>
  <c r="R22" i="40"/>
  <c r="T19" i="40"/>
  <c r="I20" i="26"/>
  <c r="H20" i="26" s="1"/>
  <c r="I19" i="26"/>
  <c r="H19" i="26" s="1"/>
  <c r="P35" i="39"/>
  <c r="O35" i="39"/>
  <c r="Q35" i="39" s="1"/>
  <c r="R34" i="39"/>
  <c r="R33" i="39"/>
  <c r="I17" i="26"/>
  <c r="H17" i="26" s="1"/>
  <c r="I16" i="26"/>
  <c r="H16" i="26" s="1"/>
  <c r="I18" i="26"/>
  <c r="H18" i="26" s="1"/>
  <c r="P34" i="39"/>
  <c r="O34" i="39"/>
  <c r="Q34" i="39" s="1"/>
  <c r="R32" i="39"/>
  <c r="O32" i="39" s="1"/>
  <c r="O33" i="39"/>
  <c r="P33" i="39"/>
  <c r="R21" i="40"/>
  <c r="R20" i="40"/>
  <c r="R18" i="40"/>
  <c r="R17" i="40"/>
  <c r="R16" i="40"/>
  <c r="S34" i="40" l="1"/>
  <c r="R28" i="40"/>
  <c r="R19" i="40"/>
  <c r="P32" i="39"/>
  <c r="Q32" i="39"/>
  <c r="Q33" i="39"/>
  <c r="E15" i="26" l="1"/>
  <c r="D15" i="26"/>
  <c r="I15" i="26" s="1"/>
  <c r="H15" i="26" s="1"/>
  <c r="E16" i="70"/>
  <c r="D16" i="70"/>
  <c r="I16" i="70" s="1"/>
  <c r="H16" i="70" s="1"/>
  <c r="E15" i="70"/>
  <c r="D15" i="70"/>
  <c r="I15" i="70" s="1"/>
  <c r="H15" i="70" s="1"/>
  <c r="N31" i="39"/>
  <c r="E31" i="39"/>
  <c r="D31" i="39"/>
  <c r="N30" i="39"/>
  <c r="E30" i="39"/>
  <c r="D30" i="39"/>
  <c r="N29" i="39"/>
  <c r="E29" i="39"/>
  <c r="D29" i="39"/>
  <c r="N28" i="39"/>
  <c r="E28" i="39"/>
  <c r="D28" i="39"/>
  <c r="N27" i="39"/>
  <c r="E27" i="39"/>
  <c r="D27" i="39"/>
  <c r="N26" i="39"/>
  <c r="E26" i="39"/>
  <c r="D26" i="39"/>
  <c r="N25" i="39"/>
  <c r="E25" i="39"/>
  <c r="D25" i="39"/>
  <c r="N24" i="39"/>
  <c r="E24" i="39"/>
  <c r="D24" i="39"/>
  <c r="N23" i="39"/>
  <c r="E23" i="39"/>
  <c r="D23" i="39"/>
  <c r="N22" i="39"/>
  <c r="E22" i="39"/>
  <c r="D22" i="39"/>
  <c r="N21" i="39"/>
  <c r="E21" i="39"/>
  <c r="D21" i="39"/>
  <c r="N20" i="39"/>
  <c r="E20" i="39"/>
  <c r="D20" i="39"/>
  <c r="N19" i="39"/>
  <c r="E19" i="39"/>
  <c r="D19" i="39"/>
  <c r="N18" i="39"/>
  <c r="E18" i="39"/>
  <c r="D18" i="39"/>
  <c r="N17" i="39"/>
  <c r="E17" i="39"/>
  <c r="D17" i="39"/>
  <c r="N16" i="39"/>
  <c r="E16" i="39"/>
  <c r="D16" i="39"/>
  <c r="N15" i="39"/>
  <c r="E15" i="39"/>
  <c r="D15" i="39"/>
  <c r="N13" i="39"/>
  <c r="N14" i="39"/>
  <c r="R31" i="39" l="1"/>
  <c r="P31" i="39" s="1"/>
  <c r="R30" i="39"/>
  <c r="O30" i="39" s="1"/>
  <c r="R29" i="39"/>
  <c r="O29" i="39" s="1"/>
  <c r="R28" i="39"/>
  <c r="O28" i="39" s="1"/>
  <c r="R27" i="39"/>
  <c r="O27" i="39" s="1"/>
  <c r="R26" i="39"/>
  <c r="O26" i="39" s="1"/>
  <c r="R25" i="39"/>
  <c r="P25" i="39" s="1"/>
  <c r="R24" i="39"/>
  <c r="P24" i="39" s="1"/>
  <c r="R20" i="39"/>
  <c r="O20" i="39" s="1"/>
  <c r="R23" i="39"/>
  <c r="P23" i="39" s="1"/>
  <c r="R22" i="39"/>
  <c r="P22" i="39" s="1"/>
  <c r="R21" i="39"/>
  <c r="O21" i="39" s="1"/>
  <c r="R19" i="39"/>
  <c r="P19" i="39" s="1"/>
  <c r="R18" i="39"/>
  <c r="P18" i="39" s="1"/>
  <c r="R17" i="39"/>
  <c r="O17" i="39" s="1"/>
  <c r="R16" i="39"/>
  <c r="O16" i="39" s="1"/>
  <c r="R15" i="39"/>
  <c r="P15" i="39" s="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40" i="41"/>
  <c r="G41" i="41"/>
  <c r="G42" i="41"/>
  <c r="G43" i="41"/>
  <c r="G44" i="41"/>
  <c r="G45"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O31" i="39" l="1"/>
  <c r="P30" i="39"/>
  <c r="Q31" i="39"/>
  <c r="Q30" i="39"/>
  <c r="G46" i="41"/>
  <c r="P29" i="39"/>
  <c r="Q29" i="39" s="1"/>
  <c r="P28" i="39"/>
  <c r="Q28" i="39" s="1"/>
  <c r="P27" i="39"/>
  <c r="Q27" i="39" s="1"/>
  <c r="G34" i="41"/>
  <c r="G35" i="41"/>
  <c r="G33" i="41"/>
  <c r="P26" i="39"/>
  <c r="Q26" i="39" s="1"/>
  <c r="O25" i="39"/>
  <c r="Q25" i="39" s="1"/>
  <c r="P20" i="39"/>
  <c r="Q20" i="39" s="1"/>
  <c r="O23" i="39"/>
  <c r="G39" i="41" s="1"/>
  <c r="O24" i="39"/>
  <c r="Q24" i="39" s="1"/>
  <c r="O19" i="39"/>
  <c r="G32" i="41" s="1"/>
  <c r="P21" i="39"/>
  <c r="O22" i="39"/>
  <c r="Q22" i="39" s="1"/>
  <c r="P17" i="39"/>
  <c r="Q17" i="39" s="1"/>
  <c r="O18" i="39"/>
  <c r="Q18" i="39" s="1"/>
  <c r="Q21" i="39"/>
  <c r="G36" i="41"/>
  <c r="P16" i="39"/>
  <c r="Q16" i="39" s="1"/>
  <c r="O15" i="39"/>
  <c r="G30" i="41" s="1"/>
  <c r="G37" i="41"/>
  <c r="G31" i="41"/>
  <c r="E21" i="41"/>
  <c r="E20" i="41"/>
  <c r="E17" i="41"/>
  <c r="G38" i="41" l="1"/>
  <c r="G29" i="41"/>
  <c r="Q19" i="39"/>
  <c r="Q23" i="39"/>
  <c r="Q15" i="39"/>
  <c r="B6" i="55"/>
  <c r="H6" i="55" s="1"/>
  <c r="B7" i="55"/>
  <c r="H7" i="55" s="1"/>
  <c r="B8" i="55"/>
  <c r="H8" i="55" s="1"/>
  <c r="B9" i="55"/>
  <c r="H9" i="55" s="1"/>
  <c r="B5" i="55"/>
  <c r="G21" i="55"/>
  <c r="F21" i="55"/>
  <c r="E21" i="55"/>
  <c r="D21" i="55"/>
  <c r="C21" i="55"/>
  <c r="O11" i="40" l="1"/>
  <c r="L11" i="40"/>
  <c r="I11" i="40"/>
  <c r="F11" i="40"/>
  <c r="G24" i="40" l="1"/>
  <c r="H24" i="40" s="1"/>
  <c r="G23" i="40"/>
  <c r="H23" i="40" s="1"/>
  <c r="G31" i="40"/>
  <c r="H31" i="40" s="1"/>
  <c r="G29" i="40"/>
  <c r="H29" i="40" s="1"/>
  <c r="G32" i="40"/>
  <c r="H32" i="40" s="1"/>
  <c r="G25" i="40"/>
  <c r="H25" i="40" s="1"/>
  <c r="G22" i="40"/>
  <c r="H22" i="40" s="1"/>
  <c r="G26" i="40"/>
  <c r="H26" i="40" s="1"/>
  <c r="G30" i="40"/>
  <c r="H30" i="40" s="1"/>
  <c r="G27" i="40"/>
  <c r="H27" i="40" s="1"/>
  <c r="G28" i="40"/>
  <c r="H28" i="40" s="1"/>
  <c r="M30" i="40"/>
  <c r="N30" i="40" s="1"/>
  <c r="M24" i="40"/>
  <c r="N24" i="40" s="1"/>
  <c r="M22" i="40"/>
  <c r="N22" i="40" s="1"/>
  <c r="M27" i="40"/>
  <c r="N27" i="40" s="1"/>
  <c r="M25" i="40"/>
  <c r="N25" i="40" s="1"/>
  <c r="M31" i="40"/>
  <c r="N31" i="40" s="1"/>
  <c r="M26" i="40"/>
  <c r="N26" i="40" s="1"/>
  <c r="M32" i="40"/>
  <c r="N32" i="40" s="1"/>
  <c r="M29" i="40"/>
  <c r="N29" i="40" s="1"/>
  <c r="M23" i="40"/>
  <c r="N23" i="40" s="1"/>
  <c r="M28" i="40"/>
  <c r="N28" i="40" s="1"/>
  <c r="J25" i="40"/>
  <c r="K25" i="40" s="1"/>
  <c r="J32" i="40"/>
  <c r="K32" i="40" s="1"/>
  <c r="J30" i="40"/>
  <c r="K30" i="40" s="1"/>
  <c r="J26" i="40"/>
  <c r="K26" i="40" s="1"/>
  <c r="J29" i="40"/>
  <c r="K29" i="40" s="1"/>
  <c r="J27" i="40"/>
  <c r="K27" i="40" s="1"/>
  <c r="J22" i="40"/>
  <c r="K22" i="40" s="1"/>
  <c r="J23" i="40"/>
  <c r="K23" i="40" s="1"/>
  <c r="J24" i="40"/>
  <c r="K24" i="40" s="1"/>
  <c r="J31" i="40"/>
  <c r="K31" i="40" s="1"/>
  <c r="J28" i="40"/>
  <c r="K28" i="40" s="1"/>
  <c r="P27" i="40"/>
  <c r="Q27" i="40" s="1"/>
  <c r="P22" i="40"/>
  <c r="Q22" i="40" s="1"/>
  <c r="P25" i="40"/>
  <c r="Q25" i="40" s="1"/>
  <c r="P31" i="40"/>
  <c r="Q31" i="40" s="1"/>
  <c r="P24" i="40"/>
  <c r="Q24" i="40" s="1"/>
  <c r="P23" i="40"/>
  <c r="Q23" i="40" s="1"/>
  <c r="P26" i="40"/>
  <c r="Q26" i="40" s="1"/>
  <c r="P32" i="40"/>
  <c r="Q32" i="40" s="1"/>
  <c r="P29" i="40"/>
  <c r="Q29" i="40" s="1"/>
  <c r="P30" i="40"/>
  <c r="Q30" i="40" s="1"/>
  <c r="P28" i="40"/>
  <c r="Q28" i="40" s="1"/>
  <c r="G17" i="40"/>
  <c r="H17" i="40" s="1"/>
  <c r="G20" i="40"/>
  <c r="H20" i="40" s="1"/>
  <c r="G21" i="40"/>
  <c r="H21" i="40" s="1"/>
  <c r="G15" i="40"/>
  <c r="H15" i="40" s="1"/>
  <c r="G18" i="40"/>
  <c r="H18" i="40" s="1"/>
  <c r="G16" i="40"/>
  <c r="H16" i="40" s="1"/>
  <c r="G19" i="40"/>
  <c r="H19" i="40" s="1"/>
  <c r="M20" i="40"/>
  <c r="N20" i="40" s="1"/>
  <c r="M21" i="40"/>
  <c r="N21" i="40" s="1"/>
  <c r="M15" i="40"/>
  <c r="N15" i="40" s="1"/>
  <c r="M18" i="40"/>
  <c r="N18" i="40" s="1"/>
  <c r="M16" i="40"/>
  <c r="N16" i="40" s="1"/>
  <c r="M17" i="40"/>
  <c r="N17" i="40" s="1"/>
  <c r="M19" i="40"/>
  <c r="N19" i="40" s="1"/>
  <c r="J18" i="40"/>
  <c r="K18" i="40" s="1"/>
  <c r="J16" i="40"/>
  <c r="K16" i="40" s="1"/>
  <c r="J17" i="40"/>
  <c r="K17" i="40" s="1"/>
  <c r="J21" i="40"/>
  <c r="K21" i="40" s="1"/>
  <c r="J15" i="40"/>
  <c r="K15" i="40" s="1"/>
  <c r="J20" i="40"/>
  <c r="K20" i="40" s="1"/>
  <c r="J19" i="40"/>
  <c r="K19" i="40" s="1"/>
  <c r="P18" i="40"/>
  <c r="Q18" i="40" s="1"/>
  <c r="P16" i="40"/>
  <c r="Q16" i="40" s="1"/>
  <c r="P15" i="40"/>
  <c r="Q15" i="40" s="1"/>
  <c r="P17" i="40"/>
  <c r="Q17" i="40" s="1"/>
  <c r="P21" i="40"/>
  <c r="Q21" i="40" s="1"/>
  <c r="P20" i="40"/>
  <c r="Q20" i="40" s="1"/>
  <c r="P19" i="40"/>
  <c r="Q19" i="40" s="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3"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E13" i="41"/>
  <c r="S22" i="40" l="1"/>
  <c r="S25" i="40"/>
  <c r="S32" i="40"/>
  <c r="F46" i="41" s="1"/>
  <c r="S29" i="40"/>
  <c r="S28" i="40"/>
  <c r="S31" i="40"/>
  <c r="F41" i="41" s="1"/>
  <c r="S27" i="40"/>
  <c r="S23" i="40"/>
  <c r="S26" i="40"/>
  <c r="F42" i="41" s="1"/>
  <c r="S30" i="40"/>
  <c r="S24" i="40"/>
  <c r="S19" i="40"/>
  <c r="F44" i="41" s="1"/>
  <c r="S16" i="40"/>
  <c r="S18" i="40"/>
  <c r="S15" i="40"/>
  <c r="S21" i="40"/>
  <c r="S20" i="40"/>
  <c r="F45" i="41" s="1"/>
  <c r="S17" i="40"/>
  <c r="R13" i="39"/>
  <c r="P13" i="39" s="1"/>
  <c r="T14" i="40"/>
  <c r="M14" i="40" s="1"/>
  <c r="N14" i="40" s="1"/>
  <c r="H16" i="55"/>
  <c r="J13" i="71"/>
  <c r="I13" i="71" s="1"/>
  <c r="I13" i="26"/>
  <c r="I13" i="70"/>
  <c r="I14" i="26"/>
  <c r="H14" i="26" s="1"/>
  <c r="F8" i="55" s="1"/>
  <c r="I14" i="70"/>
  <c r="H14" i="70" s="1"/>
  <c r="J14" i="71"/>
  <c r="T13" i="40"/>
  <c r="F9" i="55" l="1"/>
  <c r="F7" i="55"/>
  <c r="G5" i="55"/>
  <c r="G6" i="55"/>
  <c r="I17" i="41"/>
  <c r="J14" i="40"/>
  <c r="K14" i="40" s="1"/>
  <c r="R14" i="40"/>
  <c r="P14" i="40"/>
  <c r="Q14" i="40" s="1"/>
  <c r="G14" i="40"/>
  <c r="H14" i="40"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E7" i="40"/>
  <c r="R13" i="40"/>
  <c r="E6" i="40"/>
  <c r="N13" i="40"/>
  <c r="D7" i="40" s="1"/>
  <c r="H13" i="40"/>
  <c r="M13" i="40"/>
  <c r="G13" i="40"/>
  <c r="E5" i="40"/>
  <c r="Q13" i="40"/>
  <c r="J13" i="40"/>
  <c r="E8" i="40"/>
  <c r="K13" i="40"/>
  <c r="P13" i="40"/>
  <c r="S13" i="40"/>
  <c r="S14" i="40" l="1"/>
  <c r="C6" i="55" s="1"/>
  <c r="G10" i="55"/>
  <c r="D5" i="40"/>
  <c r="D6" i="40"/>
  <c r="D8" i="40"/>
  <c r="E7" i="55"/>
  <c r="E23" i="55"/>
  <c r="G23" i="55"/>
  <c r="D24" i="55"/>
  <c r="F24" i="55"/>
  <c r="C25" i="55"/>
  <c r="E25" i="55"/>
  <c r="G25" i="55"/>
  <c r="D26"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2" i="55"/>
  <c r="D23" i="55"/>
  <c r="G22" i="55"/>
  <c r="D6" i="55"/>
  <c r="D7" i="55"/>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L41" i="41" s="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L34" i="41" s="1"/>
  <c r="I65" i="41"/>
  <c r="I31" i="41"/>
  <c r="L31" i="41" s="1"/>
  <c r="I79" i="41"/>
  <c r="I68" i="41"/>
  <c r="I69" i="41"/>
  <c r="I37" i="41"/>
  <c r="I58" i="41"/>
  <c r="D20" i="41"/>
  <c r="I81" i="41"/>
  <c r="I70" i="41"/>
  <c r="I71" i="41"/>
  <c r="I39" i="41"/>
  <c r="I60" i="41"/>
  <c r="I28" i="41"/>
  <c r="J78" i="41"/>
  <c r="J62" i="41"/>
  <c r="J46" i="41"/>
  <c r="J30" i="41"/>
  <c r="J80" i="41"/>
  <c r="J67" i="41"/>
  <c r="F27" i="41"/>
  <c r="F28" i="41"/>
  <c r="C5" i="55"/>
  <c r="E9" i="40"/>
  <c r="C7" i="55" l="1"/>
  <c r="I7" i="55" s="1"/>
  <c r="D9" i="40"/>
  <c r="D17" i="41" s="1"/>
  <c r="L47" i="41"/>
  <c r="L45" i="41"/>
  <c r="L46" i="41"/>
  <c r="L44" i="41"/>
  <c r="L43" i="41"/>
  <c r="L42" i="41"/>
  <c r="L40" i="41"/>
  <c r="L39" i="41"/>
  <c r="L38" i="41"/>
  <c r="L37" i="41"/>
  <c r="L36" i="41"/>
  <c r="L35" i="41"/>
  <c r="L33" i="41"/>
  <c r="L32" i="41"/>
  <c r="L30" i="41"/>
  <c r="L29" i="41"/>
  <c r="I9" i="55"/>
  <c r="I8" i="55"/>
  <c r="I6" i="55"/>
  <c r="H32" i="55"/>
  <c r="H28" i="55"/>
  <c r="H24" i="55"/>
  <c r="H31" i="55"/>
  <c r="H27" i="55"/>
  <c r="H34" i="55"/>
  <c r="H30" i="55"/>
  <c r="H26"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C15" i="55"/>
  <c r="G15" i="55"/>
  <c r="G16" i="55"/>
  <c r="F16" i="55"/>
  <c r="D77" i="55"/>
  <c r="E77" i="55"/>
  <c r="G77" i="55"/>
  <c r="F77" i="55"/>
  <c r="C10" i="55" l="1"/>
  <c r="G17" i="55"/>
  <c r="C17" i="55"/>
  <c r="F17" i="55"/>
  <c r="K27" i="41"/>
  <c r="H15" i="55" s="1"/>
  <c r="H17" i="55" s="1"/>
  <c r="D10" i="39"/>
  <c r="D22" i="41" s="1"/>
  <c r="H5" i="55"/>
  <c r="H10" i="55" s="1"/>
  <c r="R14" i="39"/>
  <c r="I19" i="41" s="1"/>
  <c r="O14" i="39" l="1"/>
  <c r="F6" i="39"/>
  <c r="F8" i="39" s="1"/>
  <c r="B3" i="74"/>
  <c r="I18" i="41"/>
  <c r="P14" i="39"/>
  <c r="H28" i="41" s="1"/>
  <c r="I22" i="41"/>
  <c r="G28" i="41" l="1"/>
  <c r="L28" i="41" s="1"/>
  <c r="C23" i="55"/>
  <c r="H23" i="55" s="1"/>
  <c r="D9" i="39"/>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<sst xmlns="http://schemas.openxmlformats.org/spreadsheetml/2006/main" count="957" uniqueCount="419">
  <si>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</si>
  <si>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</si>
  <si>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</si>
  <si>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</si>
  <si>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</si>
  <si>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</si>
  <si>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</si>
  <si>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</si>
  <si>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</si>
  <si>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</si>
  <si>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</si>
  <si>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</si>
  <si>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</si>
  <si>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</si>
  <si>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</si>
  <si>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</si>
  <si>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</si>
  <si>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</si>
  <si>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</si>
  <si>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</si>
  <si>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</si>
  <si>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</si>
  <si>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</si>
  <si>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</si>
  <si>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</si>
  <si>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</si>
  <si>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</si>
  <si>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</si>
  <si>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</si>
  <si>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</si>
  <si>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</si>
  <si>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</si>
  <si>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</si>
  <si>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</si>
  <si>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</si>
  <si>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</si>
  <si>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</si>
  <si>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</si>
  <si>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</si>
  <si>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</si>
  <si>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</si>
  <si>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</si>
  <si>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</si>
  <si>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</si>
  <si>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</si>
  <si>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</si>
  <si>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</si>
  <si>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</si>
  <si>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</si>
  <si>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</si>
  <si>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</si>
  <si>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</si>
  <si>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</si>
  <si>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</si>
  <si>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</si>
  <si>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</si>
  <si>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</si>
  <si>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</si>
  <si>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</si>
  <si>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</si>
  <si>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</si>
  <si>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</si>
  <si>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</si>
  <si>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</si>
  <si>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</si>
  <si>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</si>
  <si>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</si>
  <si>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</si>
  <si>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</si>
  <si>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</si>
  <si>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</si>
  <si>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</si>
  <si>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</si>
  <si>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</si>
  <si>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</si>
  <si>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</si>
  <si>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</si>
  <si>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</si>
  <si>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</si>
  <si>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</si>
  <si>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</si>
  <si>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</si>
  <si>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</si>
  <si>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</si>
  <si>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</si>
  <si>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</si>
  <si>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</si>
  <si>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</si>
  <si>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</si>
  <si>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</si>
  <si>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</si>
  <si>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</si>
  <si>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</si>
  <si>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</si>
  <si>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</si>
  <si>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</si>
  <si>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</si>
  <si>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</si>
  <si>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</si>
  <si>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</si>
  <si>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</si>
  <si>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</si>
  <si>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</si>
  <si>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</si>
  <si>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</si>
  <si>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</si>
  <si>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</si>
  <si>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</si>
  <si>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</si>
  <si>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</si>
  <si>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</si>
  <si>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</si>
  <si>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</si>
  <si>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</si>
  <si>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</si>
  <si>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</si>
  <si>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</si>
  <si>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</si>
  <si>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</si>
  <si>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</si>
  <si>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</si>
  <si>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</si>
  <si>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</si>
  <si>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</si>
  <si>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</si>
  <si>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</si>
  <si>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</si>
  <si>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</si>
  <si>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</si>
  <si>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</si>
  <si>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</si>
  <si>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</si>
  <si>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</si>
  <si>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</si>
  <si>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</si>
  <si>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</si>
  <si>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</si>
  <si>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</si>
  <si>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</si>
  <si>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</si>
  <si>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</si>
  <si>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</si>
  <si>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</si>
  <si>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</si>
  <si>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</si>
  <si>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</si>
  <si>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</si>
  <si>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</si>
  <si>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</si>
  <si>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</si>
  <si>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</si>
  <si>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</si>
  <si>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</si>
  <si>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</si>
  <si>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</si>
  <si>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</si>
  <si>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</si>
  <si>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</si>
  <si>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</si>
  <si>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</si>
  <si>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</si>
  <si>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</si>
  <si>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</si>
  <si>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</si>
  <si>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</si>
  <si>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</si>
  <si>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</si>
  <si>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</si>
  <si>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</si>
  <si>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</si>
  <si>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</si>
  <si>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</si>
  <si>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</si>
  <si>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</si>
  <si>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</si>
  <si>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</si>
  <si>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</si>
  <si>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</si>
  <si>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</si>
  <si>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</si>
  <si>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</si>
  <si>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</si>
  <si>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</si>
  <si>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</si>
  <si>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</si>
  <si>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</si>
  <si>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</si>
  <si>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</si>
  <si>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</si>
  <si>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</si>
  <si>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</si>
  <si>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</si>
  <si>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</si>
  <si>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</si>
  <si>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</si>
  <si>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</si>
  <si>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</si>
  <si>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</si>
  <si>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</si>
  <si>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</si>
  <si>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</si>
  <si>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</si>
  <si>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</si>
  <si>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</si>
  <si>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</si>
  <si>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</si>
  <si>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</si>
  <si>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</si>
  <si>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</si>
  <si>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</si>
  <si>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</si>
  <si>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</si>
  <si>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</si>
  <si>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</si>
  <si>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</si>
  <si>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</si>
  <si>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</si>
  <si>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</si>
  <si>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</si>
  <si>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</si>
  <si>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</si>
  <si>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</si>
  <si>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</si>
  <si>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</si>
  <si>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</si>
  <si>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</si>
  <si>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</si>
  <si>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</si>
  <si>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</si>
  <si>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</si>
  <si>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</si>
  <si>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</si>
  <si>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</si>
  <si>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</si>
  <si>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</si>
  <si>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</si>
  <si>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</si>
  <si>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</si>
  <si>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</si>
  <si>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</si>
  <si>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</si>
  <si>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</si>
  <si>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</si>
  <si>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</si>
  <si>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</si>
  <si>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</si>
  <si>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</si>
  <si>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</si>
  <si>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</si>
  <si>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</si>
  <si>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</si>
  <si>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</si>
  <si>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</si>
  <si>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</si>
  <si>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</si>
  <si>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</si>
  <si>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</si>
  <si>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</si>
  <si>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</si>
  <si>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</si>
  <si>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</si>
  <si>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</si>
  <si>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</si>
  <si>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</si>
  <si>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</si>
  <si>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</si>
  <si>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</si>
  <si>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</si>
  <si>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</si>
  <si>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</si>
  <si>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</si>
  <si>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</si>
  <si>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</si>
  <si>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</si>
  <si>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</si>
  <si>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</si>
  <si>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</si>
  <si>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</si>
  <si>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</si>
  <si>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</si>
  <si>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</si>
  <si>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</si>
  <si>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</si>
  <si>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</si>
  <si>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</si>
  <si>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</si>
  <si>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</si>
  <si>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</si>
  <si>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</si>
  <si>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</si>
  <si>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</si>
  <si>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</si>
  <si>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</si>
  <si>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</si>
  <si>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</si>
  <si>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</si>
  <si>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</si>
  <si>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</si>
  <si>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</si>
  <si>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</si>
  <si>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</si>
  <si>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</si>
  <si>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</si>
  <si>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</si>
  <si>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</si>
  <si>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</si>
  <si>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</si>
  <si>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</si>
  <si>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</si>
  <si>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</si>
  <si>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</si>
  <si>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</si>
  <si>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</si>
  <si>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</si>
  <si>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</si>
  <si>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</si>
  <si>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</si>
  <si>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</si>
  <si>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</si>
  <si>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</si>
  <si>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</si>
  <si>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</si>
  <si>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</si>
  <si>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</si>
  <si>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</si>
  <si>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</si>
  <si>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</si>
  <si>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</si>
  <si>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</si>
  <si>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</si>
  <si>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</si>
  <si>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</si>
  <si>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</si>
  <si>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</si>
  <si>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</si>
  <si>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</si>
  <si>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</si>
  <si>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</si>
  <si>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</si>
  <si>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</si>
  <si>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</si>
  <si>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</si>
  <si>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</si>
  <si>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</si>
  <si>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</si>
  <si>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</si>
  <si>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</si>
  <si>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</si>
  <si>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</si>
  <si>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</si>
  <si>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</si>
  <si>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</si>
  <si>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</si>
  <si>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</si>
  <si>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</si>
  <si>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</si>
  <si>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</si>
  <si>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</si>
  <si>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</si>
  <si>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</si>
  <si>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BNV (Bošnjačko nacionalno vijeće)</t>
  </si>
  <si>
    <t>Narodni muzej u Beogradu</t>
  </si>
  <si>
    <t>Etnografski muzej u Beogradu</t>
  </si>
  <si>
    <t>Zavod za zaštitu spomenika kulture Novog Pazara</t>
  </si>
  <si>
    <t>Zavičajni muzej u Tutinu</t>
  </si>
  <si>
    <t>Zavičajni muzej Prijepolje</t>
  </si>
  <si>
    <t>Muzej Staro Selo</t>
  </si>
  <si>
    <t>British Museum</t>
  </si>
  <si>
    <t>Instituto del Patrimonio Cultural de España</t>
  </si>
  <si>
    <t>Národní muzeum</t>
  </si>
  <si>
    <t>Narodni muzej Slovenije</t>
  </si>
  <si>
    <t>Muzej grada Zagreba</t>
  </si>
  <si>
    <t>Österreichische Galerie Belvedere</t>
  </si>
  <si>
    <t>PwC (PricewaterhouseCoopers)</t>
  </si>
  <si>
    <t>Accenture</t>
  </si>
  <si>
    <t xml:space="preserve">UNESCO </t>
  </si>
  <si>
    <t>Louvre Museum</t>
  </si>
  <si>
    <t>Rijksmuseum</t>
  </si>
  <si>
    <t>Staatliche Museen zu Berlin</t>
  </si>
  <si>
    <t>European Travel Commission</t>
  </si>
  <si>
    <t>London</t>
  </si>
  <si>
    <t>Belgrade</t>
  </si>
  <si>
    <t>Madrid</t>
  </si>
  <si>
    <t>Prague</t>
  </si>
  <si>
    <t>Ljubljana</t>
  </si>
  <si>
    <t>Novi Pazar</t>
  </si>
  <si>
    <t>Zagreb</t>
  </si>
  <si>
    <t>Wien</t>
  </si>
  <si>
    <t>Brussels</t>
  </si>
  <si>
    <t>Berlin</t>
  </si>
  <si>
    <t>KakoGod Team</t>
  </si>
  <si>
    <t>angažovanje stručnjaka za savjetovanje u oblasti obrazovanja i razvoja kurikuluma.</t>
  </si>
  <si>
    <t>angažovanje marketinške agencije za promociju projekta na evropskom nivou.</t>
  </si>
  <si>
    <t>angažovanje stručnjaka za evaluaciju postignutih rezultata projekta i procjenu njegovog uticaja na kulturno naslijeđe.</t>
  </si>
  <si>
    <t>Laptopovi (Dell XPS )</t>
  </si>
  <si>
    <t>Projektori (Epson)</t>
  </si>
  <si>
    <t>Kamere (Canon EOS 80D)</t>
  </si>
  <si>
    <t>Printeri (HP LaserJet Pro)</t>
  </si>
  <si>
    <t>Obuka osoblja za implementaciju projekta</t>
  </si>
  <si>
    <t>Nacionalna fondacija za kulturu</t>
  </si>
  <si>
    <t>Obuka osoblja je ključna za uspešnu implementaciju projekta i ostvarenje ciljeva. Kroz obuku će se osigurati sticanje neophodnih veština i znanja za optimalno vođenje projektnih aktivnosti.</t>
  </si>
  <si>
    <t>Organizacija konferencije</t>
  </si>
  <si>
    <t>Međunarodne fondacije za kulturnu razmjenu</t>
  </si>
  <si>
    <t>Sufinansiranje troškova organizacije međunarodne konferencije o zaštiti kulturnih spomenika u Novom Pazaru</t>
  </si>
  <si>
    <t>Publikacija</t>
  </si>
  <si>
    <t>Fondacija za promociju kulture</t>
  </si>
  <si>
    <t>Sufinansiranje izrade i štampe publikacije o lokalnoj kulturnoj baštini kao rezultata projekta</t>
  </si>
  <si>
    <t>Istraživanje</t>
  </si>
  <si>
    <t>Britanska fondacija za istraživanje</t>
  </si>
  <si>
    <t>Sufinansiranje istraživačkog projekta u saradnji s British Museumom radi proučavanja arheoloških nalazišta</t>
  </si>
  <si>
    <t>Izrada digitalnih sadržaja</t>
  </si>
  <si>
    <t>Ministarstvo kulture Češke</t>
  </si>
  <si>
    <t>Sufinansiranje izrade digitalnih sadržaja o kulturnoj baštini za promociju projekta</t>
  </si>
  <si>
    <t>Microsoft Office Licenses</t>
  </si>
  <si>
    <t>Windows 10 Licences</t>
  </si>
  <si>
    <t>Skeneri</t>
  </si>
  <si>
    <t>Mikrofoni</t>
  </si>
  <si>
    <t>Zvucnici</t>
  </si>
  <si>
    <t>Tablet racunari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</si>
</sst>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7">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xf numFmtId="0" fontId="2" fillId="0" borderId="0"/>
  </cellStyleXfs>
  <cellXfs count="231">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20" fillId="0" borderId="0" xfId="0" applyFont="1" applyAlignment="1">
      <alignment vertical="center"/>
    </xf>
    <xf numFmtId="0" fontId="19" fillId="0" borderId="0" xfId="0" applyFont="1" applyAlignment="1">
      <alignment horizontal="left" vertical="center" wrapText="1"/>
    </xf>
    <xf numFmtId="0" fontId="26" fillId="0" borderId="0" xfId="2" applyFont="1" applyAlignment="1" applyProtection="1">
      <alignment vertical="center"/>
    </xf>
    <xf numFmtId="0" fontId="20" fillId="0" borderId="0" xfId="0" applyFont="1"/>
    <xf numFmtId="0" fontId="27" fillId="0" borderId="0" xfId="4" applyFont="1" applyBorder="1" applyAlignment="1" applyProtection="1">
      <alignment vertical="center"/>
    </xf>
    <xf numFmtId="0" fontId="29" fillId="0" borderId="0" xfId="0" applyFont="1" applyAlignment="1">
      <alignment horizontal="left" vertical="center"/>
    </xf>
    <xf numFmtId="0" fontId="29" fillId="0" borderId="0" xfId="0" applyFont="1" applyAlignment="1">
      <alignment vertical="center"/>
    </xf>
    <xf numFmtId="0" fontId="28" fillId="3" borderId="1" xfId="0" applyFont="1" applyFill="1" applyBorder="1" applyAlignment="1">
      <alignment horizontal="center" vertical="center"/>
    </xf>
    <xf numFmtId="0" fontId="28" fillId="3" borderId="1" xfId="0" applyFont="1" applyFill="1" applyBorder="1" applyAlignment="1">
      <alignment horizontal="center" vertical="center" wrapText="1"/>
    </xf>
    <xf numFmtId="0" fontId="20" fillId="7" borderId="1" xfId="0" applyFont="1" applyFill="1" applyBorder="1"/>
    <xf numFmtId="4" fontId="20" fillId="7" borderId="1" xfId="0" applyNumberFormat="1" applyFont="1" applyFill="1" applyBorder="1"/>
    <xf numFmtId="0" fontId="20" fillId="6" borderId="1" xfId="0" applyFont="1" applyFill="1" applyBorder="1"/>
    <xf numFmtId="1" fontId="20" fillId="0" borderId="1" xfId="0" applyNumberFormat="1" applyFont="1" applyBorder="1" applyAlignment="1">
      <alignment horizontal="center" vertical="center"/>
    </xf>
    <xf numFmtId="4" fontId="20" fillId="0" borderId="0" xfId="0" applyNumberFormat="1" applyFont="1"/>
    <xf numFmtId="0" fontId="31" fillId="0" borderId="0" xfId="0" applyFont="1" applyAlignment="1">
      <alignment horizontal="center" vertical="center"/>
    </xf>
    <xf numFmtId="0" fontId="32" fillId="0" borderId="0" xfId="0" applyFont="1" applyAlignment="1">
      <alignment vertical="center"/>
    </xf>
    <xf numFmtId="0" fontId="32" fillId="0" borderId="0" xfId="0" applyFont="1"/>
    <xf numFmtId="4" fontId="20" fillId="2" borderId="1" xfId="0" applyNumberFormat="1" applyFont="1" applyFill="1" applyBorder="1"/>
    <xf numFmtId="4" fontId="20" fillId="8" borderId="1" xfId="0" applyNumberFormat="1" applyFont="1" applyFill="1" applyBorder="1" applyAlignment="1">
      <alignment horizontal="right"/>
    </xf>
    <xf numFmtId="4" fontId="20" fillId="6" borderId="1" xfId="0" applyNumberFormat="1" applyFont="1" applyFill="1" applyBorder="1"/>
    <xf numFmtId="1" fontId="20" fillId="0" borderId="12" xfId="0" applyNumberFormat="1" applyFont="1" applyBorder="1" applyAlignment="1">
      <alignment horizontal="center" vertical="center"/>
    </xf>
    <xf numFmtId="4" fontId="20" fillId="6" borderId="1" xfId="0" applyNumberFormat="1" applyFont="1" applyFill="1" applyBorder="1" applyAlignment="1">
      <alignment horizontal="right"/>
    </xf>
    <xf numFmtId="1" fontId="20"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5"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166" fontId="4" fillId="5" borderId="1" xfId="0" applyNumberFormat="1" applyFont="1" applyFill="1" applyBorder="1" applyAlignment="1" applyProtection="1">
      <alignment horizontal="center" vertical="center"/>
      <protection locked="0"/>
    </xf>
    <xf numFmtId="166" fontId="4" fillId="5" borderId="1" xfId="0" applyNumberFormat="1" applyFont="1" applyFill="1" applyBorder="1" applyAlignment="1" applyProtection="1">
      <alignment horizontal="center" vertical="center"/>
      <protection locked="0"/>
    </xf>
    <xf numFmtId="166" fontId="4" fillId="5" borderId="1" xfId="0" applyNumberFormat="1" applyFont="1" applyFill="1" applyBorder="1" applyAlignment="1" applyProtection="1">
      <alignment horizontal="center" vertical="center"/>
      <protection locked="0"/>
    </xf>
    <xf numFmtId="0" fontId="4" fillId="5" borderId="1" xfId="0" applyFont="1" applyFill="1" applyBorder="1" applyAlignment="1" applyProtection="1">
      <alignment horizontal="left" vertical="center"/>
      <protection locked="0"/>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166" fontId="4" fillId="5" borderId="1" xfId="0" applyNumberFormat="1" applyFont="1" applyFill="1" applyBorder="1" applyAlignment="1" applyProtection="1">
      <alignment horizontal="center" vertical="center"/>
      <protection locked="0"/>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Border="1" applyAlignment="1">
      <alignment horizontal="center"/>
    </xf>
    <xf numFmtId="0" fontId="5" fillId="0" borderId="7" xfId="0" applyFont="1" applyBorder="1" applyAlignment="1">
      <alignment horizontal="center"/>
    </xf>
    <xf numFmtId="0" fontId="11" fillId="0" borderId="4" xfId="0" applyFont="1" applyBorder="1" applyAlignment="1">
      <alignment horizontal="center"/>
    </xf>
    <xf numFmtId="0" fontId="11" fillId="0" borderId="8" xfId="0" applyFont="1" applyBorder="1" applyAlignment="1">
      <alignment horizontal="center"/>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6"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8" fillId="3" borderId="2" xfId="0" applyFont="1" applyFill="1" applyBorder="1" applyAlignment="1">
      <alignment horizontal="center" vertical="center" wrapText="1"/>
    </xf>
    <xf numFmtId="0" fontId="28" fillId="3" borderId="13" xfId="0" applyFont="1" applyFill="1" applyBorder="1" applyAlignment="1">
      <alignment horizontal="center" vertical="center"/>
    </xf>
    <xf numFmtId="0" fontId="28" fillId="3" borderId="14" xfId="0" applyFont="1" applyFill="1" applyBorder="1" applyAlignment="1">
      <alignment horizontal="center" vertical="center" wrapText="1"/>
    </xf>
    <xf numFmtId="0" fontId="28" fillId="3" borderId="4" xfId="0" applyFont="1" applyFill="1" applyBorder="1" applyAlignment="1">
      <alignment horizontal="left" vertical="center" wrapText="1" indent="1"/>
    </xf>
    <xf numFmtId="0" fontId="28" fillId="3" borderId="15" xfId="0" applyFont="1" applyFill="1" applyBorder="1" applyAlignment="1">
      <alignment horizontal="left" vertical="center" wrapText="1" indent="1"/>
    </xf>
    <xf numFmtId="0" fontId="28" fillId="3" borderId="8" xfId="0" applyFont="1" applyFill="1" applyBorder="1" applyAlignment="1">
      <alignment horizontal="left" vertical="center" wrapText="1" indent="1"/>
    </xf>
    <xf numFmtId="0" fontId="28" fillId="3" borderId="3" xfId="0" applyFont="1" applyFill="1" applyBorder="1" applyAlignment="1">
      <alignment horizontal="left" vertical="center" wrapText="1" indent="1"/>
    </xf>
    <xf numFmtId="0" fontId="28" fillId="3" borderId="6" xfId="0" applyFont="1" applyFill="1" applyBorder="1" applyAlignment="1">
      <alignment horizontal="left" vertical="center" wrapText="1" indent="1"/>
    </xf>
    <xf numFmtId="0" fontId="28" fillId="3" borderId="7" xfId="0" applyFont="1" applyFill="1" applyBorder="1" applyAlignment="1">
      <alignment horizontal="left" vertical="center" wrapText="1" indent="1"/>
    </xf>
    <xf numFmtId="0" fontId="21" fillId="0" borderId="0" xfId="0" applyFont="1" applyAlignment="1">
      <alignment horizontal="left" vertical="center" wrapText="1"/>
    </xf>
    <xf numFmtId="0" fontId="21" fillId="0" borderId="0" xfId="0" applyFont="1" applyAlignment="1">
      <alignment horizontal="left" vertical="center"/>
    </xf>
    <xf numFmtId="0" fontId="8" fillId="3" borderId="1" xfId="0" applyFont="1" applyFill="1" applyBorder="1" applyAlignment="1">
      <alignment horizontal="center" vertical="center"/>
    </xf>
  </cellXfs>
  <cellStyles count="7">
    <cellStyle name="Comma" xfId="1" builtinId="3"/>
    <cellStyle name="Hyperlink" xfId="2" builtinId="8"/>
    <cellStyle name="Hyperlink 2" xfId="4" xr:uid="{00000000-0005-0000-0000-000002000000}"/>
    <cellStyle name="Normal" xfId="0" builtinId="0"/>
    <cellStyle name="Normal 2" xfId="3" xr:uid="{00000000-0005-0000-0000-000004000000}"/>
    <cellStyle name="Normal 3" xfId="6" xr:uid="{C58340CB-D200-43EF-9474-6B39D4AE1076}"/>
    <cellStyle name="Percent" xfId="5" builtinId="5"/>
  </cellStyles>
  <dxfs count="410">
    <dxf>
      <fill>
        <patternFill>
          <bgColor theme="5" tint="0.79998168889431442"/>
        </patternFill>
      </fill>
    </dxf>
    <dxf>
      <fill>
        <patternFill>
          <bgColor theme="5" tint="0.7999816888943144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opLeftCell="A28" zoomScale="70" zoomScaleNormal="70" zoomScaleSheetLayoutView="85" workbookViewId="0">
      <selection activeCell="C41" sqref="C41"/>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133</v>
      </c>
      <c r="E3" s="6"/>
      <c r="F3" s="4"/>
      <c r="G3" s="3"/>
      <c r="H3" s="3"/>
      <c r="I3" s="3"/>
      <c r="J3" s="3"/>
      <c r="K3" s="3"/>
      <c r="L3" s="3"/>
    </row>
    <row r="4" spans="2:12" ht="20.100000000000001" customHeight="1" x14ac:dyDescent="0.35">
      <c r="B4" s="4"/>
      <c r="C4" s="1"/>
      <c r="D4" s="5" t="s">
        <v>311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32" t="s">
        <v>355</v>
      </c>
      <c r="C7" s="132"/>
      <c r="D7" s="132"/>
      <c r="E7" s="132"/>
      <c r="F7" s="132"/>
      <c r="G7" s="132"/>
      <c r="H7" s="132"/>
      <c r="I7" s="132"/>
      <c r="J7" s="132"/>
      <c r="K7" s="132"/>
      <c r="L7" s="132"/>
    </row>
    <row r="8" spans="2:12" ht="24.9" customHeight="1" x14ac:dyDescent="0.35">
      <c r="B8" s="133" t="s">
        <v>356</v>
      </c>
      <c r="C8" s="133"/>
      <c r="D8" s="133"/>
      <c r="E8" s="133"/>
      <c r="F8" s="133"/>
      <c r="G8" s="133"/>
      <c r="H8" s="133"/>
      <c r="I8" s="133"/>
      <c r="J8" s="133"/>
      <c r="K8" s="133"/>
      <c r="L8" s="133"/>
    </row>
    <row r="9" spans="2:12" ht="24.9" customHeight="1" x14ac:dyDescent="0.35">
      <c r="B9" s="134" t="s">
        <v>130</v>
      </c>
      <c r="C9" s="134"/>
      <c r="D9" s="134"/>
      <c r="E9" s="134"/>
      <c r="F9" s="134"/>
      <c r="G9" s="134"/>
      <c r="H9" s="134"/>
      <c r="I9" s="134"/>
      <c r="J9" s="134"/>
      <c r="K9" s="134"/>
      <c r="L9" s="134"/>
    </row>
    <row r="10" spans="2:12" ht="20.100000000000001" customHeight="1" x14ac:dyDescent="0.35">
      <c r="B10" s="7"/>
      <c r="C10" s="7"/>
      <c r="D10" s="4"/>
      <c r="E10" s="4"/>
      <c r="F10" s="4"/>
      <c r="G10" s="4"/>
      <c r="H10" s="4"/>
      <c r="I10" s="4"/>
      <c r="J10" s="4"/>
      <c r="K10" s="4"/>
    </row>
    <row r="11" spans="2:12" ht="18" customHeight="1" x14ac:dyDescent="0.35">
      <c r="B11" s="123" t="s">
        <v>2</v>
      </c>
      <c r="C11" s="123"/>
      <c r="D11" s="8"/>
      <c r="E11" s="135" t="str">
        <f>IF(D11="","Please select Action Type",IF(OR(D11="Joint Project",D11="Structural Project"),"","Error Type of Action"))</f>
        <v>Please select Action Type</v>
      </c>
      <c r="F11" s="135"/>
      <c r="G11" s="135"/>
      <c r="H11" s="135"/>
      <c r="I11" s="135"/>
      <c r="J11" s="135"/>
      <c r="K11" s="135"/>
      <c r="L11" s="135"/>
    </row>
    <row r="12" spans="2:12" ht="18" customHeight="1" x14ac:dyDescent="0.35">
      <c r="B12" s="123" t="s">
        <v>136</v>
      </c>
      <c r="C12" s="123"/>
      <c r="D12" s="8"/>
      <c r="E12" s="135" t="str">
        <f>IF(D12="","Please select duration",IF(OR(D12=24,D12=36),"","Error duration"))</f>
        <v>Please select duration</v>
      </c>
      <c r="F12" s="135"/>
      <c r="G12" s="135"/>
      <c r="H12" s="135"/>
      <c r="I12" s="135"/>
      <c r="J12" s="135"/>
      <c r="K12" s="135"/>
      <c r="L12" s="135"/>
    </row>
    <row r="13" spans="2:12" ht="18" customHeight="1" x14ac:dyDescent="0.35">
      <c r="B13" s="123" t="s">
        <v>169</v>
      </c>
      <c r="C13" s="123"/>
      <c r="D13" s="8"/>
      <c r="E13" s="135" t="str">
        <f>IF(D13="","Please fill in Project Acronym","")</f>
        <v>Please fill in Project Acronym</v>
      </c>
      <c r="F13" s="135"/>
      <c r="G13" s="135"/>
      <c r="H13" s="135"/>
      <c r="I13" s="135"/>
      <c r="J13" s="135"/>
      <c r="K13" s="135"/>
      <c r="L13" s="135"/>
    </row>
    <row r="14" spans="2:12" ht="18" customHeight="1" x14ac:dyDescent="0.35">
      <c r="B14" s="123" t="s">
        <v>170</v>
      </c>
      <c r="C14" s="123"/>
      <c r="D14" s="136"/>
      <c r="E14" s="137"/>
      <c r="F14" s="137"/>
      <c r="G14" s="137"/>
      <c r="H14" s="137"/>
      <c r="I14" s="137"/>
      <c r="J14" s="137"/>
      <c r="K14" s="137"/>
      <c r="L14" s="138"/>
    </row>
    <row r="15" spans="2:12" ht="20.100000000000001" customHeight="1" x14ac:dyDescent="0.35">
      <c r="B15" s="4"/>
      <c r="C15" s="4"/>
      <c r="D15" s="4"/>
      <c r="E15" s="4"/>
      <c r="F15" s="4"/>
      <c r="G15" s="4"/>
      <c r="H15" s="4"/>
      <c r="I15" s="4"/>
      <c r="J15" s="4"/>
      <c r="K15" s="4"/>
    </row>
    <row r="16" spans="2:12" ht="24.9" customHeight="1" x14ac:dyDescent="0.35">
      <c r="B16" s="122" t="s">
        <v>222</v>
      </c>
      <c r="C16" s="122"/>
      <c r="D16" s="122"/>
      <c r="E16" s="122"/>
      <c r="F16" s="122"/>
      <c r="G16" s="122"/>
      <c r="H16" s="122"/>
      <c r="I16" s="122"/>
      <c r="J16" s="122"/>
      <c r="K16" s="122"/>
      <c r="L16" s="122"/>
    </row>
    <row r="17" spans="2:12" x14ac:dyDescent="0.35">
      <c r="B17" s="123" t="s">
        <v>166</v>
      </c>
      <c r="C17" s="123"/>
      <c r="D17" s="9">
        <f>'1. Staff costs'!D9</f>
        <v>314680</v>
      </c>
      <c r="E17" s="120" t="str">
        <f>"Cannot exceed 40% of total Grant requested"</f>
        <v>Cannot exceed 40% of total Grant requested</v>
      </c>
      <c r="F17" s="121"/>
      <c r="G17" s="121"/>
      <c r="H17" s="121"/>
      <c r="I17" s="118" t="str">
        <f>IF(COUNTIF('1. Staff costs'!T:T,"Error")&lt;=1,"","Please check data in Tab '1. Staff Costs'")</f>
        <v/>
      </c>
      <c r="J17" s="118"/>
      <c r="K17" s="118"/>
      <c r="L17" s="119"/>
    </row>
    <row r="18" spans="2:12" x14ac:dyDescent="0.35">
      <c r="B18" s="123" t="s">
        <v>341</v>
      </c>
      <c r="C18" s="123"/>
      <c r="D18" s="9">
        <f>' 2-3-6. Travel&amp;Costs of Stay'!D8</f>
        <v>34925</v>
      </c>
      <c r="E18" s="120"/>
      <c r="F18" s="121"/>
      <c r="G18" s="121"/>
      <c r="H18" s="121"/>
      <c r="I18" s="118" t="str">
        <f>IF(COUNTIF(' 2-3-6. Travel&amp;Costs of Stay'!R:R,"Error")&lt;=1,"","Please check data in Tab '2-3-6. Travel&amp;Costs of Stay'")</f>
        <v/>
      </c>
      <c r="J18" s="118"/>
      <c r="K18" s="118"/>
      <c r="L18" s="119"/>
    </row>
    <row r="19" spans="2:12" x14ac:dyDescent="0.35">
      <c r="B19" s="123" t="s">
        <v>187</v>
      </c>
      <c r="C19" s="123"/>
      <c r="D19" s="9">
        <f>' 2-3-6. Travel&amp;Costs of Stay'!D9</f>
        <v>246410</v>
      </c>
      <c r="E19" s="130"/>
      <c r="F19" s="131"/>
      <c r="G19" s="131"/>
      <c r="H19" s="131"/>
      <c r="I19" s="118" t="str">
        <f>IF(COUNTIF(' 2-3-6. Travel&amp;Costs of Stay'!R:R,"Error")&lt;=1,"","Please check data in Tab '2-3-6. Travel&amp;Costs of Stay'")</f>
        <v/>
      </c>
      <c r="J19" s="118"/>
      <c r="K19" s="118"/>
      <c r="L19" s="119"/>
    </row>
    <row r="20" spans="2:12" x14ac:dyDescent="0.35">
      <c r="B20" s="123" t="s">
        <v>185</v>
      </c>
      <c r="C20" s="123"/>
      <c r="D20" s="9">
        <f>'4. Equipment Costs'!C4</f>
        <v>233000</v>
      </c>
      <c r="E20" s="120" t="str">
        <f>"Cannot exceed 30% of Total Grant requested"</f>
        <v>Cannot exceed 30% of Total Grant requested</v>
      </c>
      <c r="F20" s="121"/>
      <c r="G20" s="121"/>
      <c r="H20" s="121"/>
      <c r="I20" s="118" t="str">
        <f>IF(COUNTIF('4. Equipment Costs'!I:I,"Error")&lt;=1,"","Please check data in Tab '4. Equipment Costs''")</f>
        <v/>
      </c>
      <c r="J20" s="118"/>
      <c r="K20" s="118"/>
      <c r="L20" s="119"/>
    </row>
    <row r="21" spans="2:12" x14ac:dyDescent="0.35">
      <c r="B21" s="123" t="s">
        <v>186</v>
      </c>
      <c r="C21" s="123"/>
      <c r="D21" s="9">
        <f>'5. Subcontracting Costs'!C4</f>
        <v>80000</v>
      </c>
      <c r="E21" s="120" t="str">
        <f>"Cannot exceed 10% of Total Grant requested"</f>
        <v>Cannot exceed 10% of Total Grant requested</v>
      </c>
      <c r="F21" s="121"/>
      <c r="G21" s="121"/>
      <c r="H21" s="121"/>
      <c r="I21" s="118" t="str">
        <f>IF(COUNTIF('5. Subcontracting Costs'!I:I,"Error")&lt;=1,"","Please check data in Tab '5. Subcontracting Costs'")</f>
        <v/>
      </c>
      <c r="J21" s="118"/>
      <c r="K21" s="118"/>
      <c r="L21" s="119"/>
    </row>
    <row r="22" spans="2:12" x14ac:dyDescent="0.35">
      <c r="B22" s="123" t="s">
        <v>340</v>
      </c>
      <c r="C22" s="123"/>
      <c r="D22" s="9">
        <f>IF(OR(C27="",D27=""),0,' 2-3-6. Travel&amp;Costs of Stay'!D10)</f>
        <v>45120</v>
      </c>
      <c r="E22" s="120"/>
      <c r="F22" s="121"/>
      <c r="G22" s="121"/>
      <c r="H22" s="121"/>
      <c r="I22" s="118" t="str">
        <f>IF(COUNTIF(' 2-3-6. Travel&amp;Costs of Stay'!R:R,"Error")&lt;=1,"","Please check data in Tab '2-3-6. Travel&amp;Costs of Stay'")</f>
        <v/>
      </c>
      <c r="J22" s="118"/>
      <c r="K22" s="118"/>
      <c r="L22" s="119"/>
    </row>
    <row r="23" spans="2:12" ht="24.9" customHeight="1" x14ac:dyDescent="0.35">
      <c r="B23" s="124" t="s">
        <v>332</v>
      </c>
      <c r="C23" s="125"/>
      <c r="D23" s="10">
        <f>SUM(D17:D22)</f>
        <v>954135</v>
      </c>
      <c r="E23" s="126" t="str">
        <f>"Should be equal or above EUR 500.000,00 and cannot exceed EUR 1.000.000,00"</f>
        <v>Should be equal or above EUR 500.000,00 and cannot exceed EUR 1.000.000,00</v>
      </c>
      <c r="F23" s="127"/>
      <c r="G23" s="127"/>
      <c r="H23" s="127"/>
      <c r="I23" s="128" t="str">
        <f>IF(OR(COUNTIF('Co-financing'!J:J,"Error")&lt;=1,AND('Co-financing'!B14="",'Co-financing'!E14="",'Co-financing'!F14="",'Co-financing'!G14="",'Co-financing'!H14=0)),"","Please check data in Tab 'Co-financing'")</f>
        <v/>
      </c>
      <c r="J23" s="128"/>
      <c r="K23" s="128"/>
      <c r="L23" s="129"/>
    </row>
    <row r="24" spans="2:12" ht="20.100000000000001" customHeight="1" x14ac:dyDescent="0.35">
      <c r="B24" s="4"/>
      <c r="C24" s="4"/>
      <c r="D24" s="4"/>
      <c r="E24" s="4"/>
      <c r="F24" s="4"/>
      <c r="G24" s="4"/>
      <c r="H24" s="4"/>
      <c r="I24" s="4"/>
      <c r="J24" s="4"/>
      <c r="K24" s="4"/>
    </row>
    <row r="25" spans="2:12" ht="24.9" customHeight="1" x14ac:dyDescent="0.35">
      <c r="B25" s="122" t="s">
        <v>179</v>
      </c>
      <c r="C25" s="122"/>
      <c r="D25" s="122"/>
      <c r="E25" s="122"/>
      <c r="F25" s="122"/>
      <c r="G25" s="122"/>
      <c r="H25" s="122"/>
      <c r="I25" s="122"/>
      <c r="J25" s="122"/>
      <c r="K25" s="122"/>
      <c r="L25" s="122"/>
    </row>
    <row r="26" spans="2:12" ht="36" x14ac:dyDescent="0.35">
      <c r="B26" s="46" t="s">
        <v>147</v>
      </c>
      <c r="C26" s="11" t="s">
        <v>148</v>
      </c>
      <c r="D26" s="11" t="s">
        <v>0</v>
      </c>
      <c r="E26" s="12" t="s">
        <v>176</v>
      </c>
      <c r="F26" s="12" t="s">
        <v>191</v>
      </c>
      <c r="G26" s="12" t="s">
        <v>192</v>
      </c>
      <c r="H26" s="12" t="s">
        <v>193</v>
      </c>
      <c r="I26" s="12" t="s">
        <v>194</v>
      </c>
      <c r="J26" s="12" t="s">
        <v>195</v>
      </c>
      <c r="K26" s="12" t="s">
        <v>340</v>
      </c>
      <c r="L26" s="13" t="s">
        <v>308</v>
      </c>
    </row>
    <row r="27" spans="2:12" x14ac:dyDescent="0.35">
      <c r="B27" s="44" t="s">
        <v>8</v>
      </c>
      <c r="C27" s="18" t="s">
        <v>360</v>
      </c>
      <c r="D27" s="14" t="s">
        <v>98</v>
      </c>
      <c r="E27" s="15" t="str">
        <f t="shared" ref="E27:E81" si="0">IFERROR(IF(D27&lt;&gt;"",VLOOKUP(D27,CountryType,2,FALSE),""),"Country not found")</f>
        <v>Programme Countries</v>
      </c>
      <c r="F27" s="16">
        <f>SUMIF('1. Staff costs'!C:C,B27,'1. Staff costs'!S:S)</f>
        <v>7550</v>
      </c>
      <c r="G27" s="16">
        <f>SUMIF(' 2-3-6. Travel&amp;Costs of Stay'!C:C,B27,' 2-3-6. Travel&amp;Costs of Stay'!O:O)</f>
        <v>13750</v>
      </c>
      <c r="H27" s="16">
        <f>SUMIF(' 2-3-6. Travel&amp;Costs of Stay'!C:C,B27,' 2-3-6. Travel&amp;Costs of Stay'!P:P)</f>
        <v>53380</v>
      </c>
      <c r="I27" s="16">
        <f>SUMIF('4. Equipment Costs'!C:C,B27,'4. Equipment Costs'!H:H)</f>
        <v>0</v>
      </c>
      <c r="J27" s="16">
        <f>SUMIF('5. Subcontracting Costs'!C:C,B27,'5. Subcontracting Costs'!H:H)</f>
        <v>0</v>
      </c>
      <c r="K27" s="16">
        <f>SUMIF(' 2-3-6. Travel&amp;Costs of Stay'!C:C,B27,' 2-3-6. Travel&amp;Costs of Stay'!N:N)</f>
        <v>3200</v>
      </c>
      <c r="L27" s="17">
        <f>IF(OR(C27="",D27=""),0,SUM(F27:K27))</f>
        <v>77880</v>
      </c>
    </row>
    <row r="28" spans="2:12" x14ac:dyDescent="0.35">
      <c r="B28" s="44" t="s">
        <v>9</v>
      </c>
      <c r="C28" s="18" t="s">
        <v>361</v>
      </c>
      <c r="D28" s="14" t="s">
        <v>98</v>
      </c>
      <c r="E28" s="15" t="str">
        <f t="shared" si="0"/>
        <v>Programme Countries</v>
      </c>
      <c r="F28" s="16">
        <f>SUMIF('1. Staff costs'!C:C,B28,'1. Staff costs'!S:S)</f>
        <v>10160</v>
      </c>
      <c r="G28" s="16">
        <f>SUMIF(' 2-3-6. Travel&amp;Costs of Stay'!C:C,B28,' 2-3-6. Travel&amp;Costs of Stay'!O:O)</f>
        <v>0</v>
      </c>
      <c r="H28" s="16">
        <f>SUMIF(' 2-3-6. Travel&amp;Costs of Stay'!C:C,B28,' 2-3-6. Travel&amp;Costs of Stay'!P:P)</f>
        <v>9480</v>
      </c>
      <c r="I28" s="16">
        <f>SUMIF('4. Equipment Costs'!C:C,B28,'4. Equipment Costs'!H:H)</f>
        <v>0</v>
      </c>
      <c r="J28" s="16">
        <f>SUMIF('5. Subcontracting Costs'!C:C,B28,'5. Subcontracting Costs'!H:H)</f>
        <v>0</v>
      </c>
      <c r="K28" s="16">
        <f>SUMIF(' 2-3-6. Travel&amp;Costs of Stay'!C:C,B28,' 2-3-6. Travel&amp;Costs of Stay'!N:N)</f>
        <v>6720</v>
      </c>
      <c r="L28" s="17">
        <f t="shared" ref="L28:L81" si="1">IF(OR(C28="",D28=""),0,SUM(F28:K28))</f>
        <v>26360</v>
      </c>
    </row>
    <row r="29" spans="2:12" x14ac:dyDescent="0.35">
      <c r="B29" s="44" t="s">
        <v>10</v>
      </c>
      <c r="C29" s="18" t="s">
        <v>362</v>
      </c>
      <c r="D29" s="14" t="s">
        <v>98</v>
      </c>
      <c r="E29" s="15" t="str">
        <f t="shared" si="0"/>
        <v>Programme Countries</v>
      </c>
      <c r="F29" s="16">
        <f>SUMIF('1. Staff costs'!C:C,B29,'1. Staff costs'!S:S)</f>
        <v>8490</v>
      </c>
      <c r="G29" s="16">
        <f>SUMIF(' 2-3-6. Travel&amp;Costs of Stay'!C:C,B29,' 2-3-6. Travel&amp;Costs of Stay'!O:O)</f>
        <v>0</v>
      </c>
      <c r="H29" s="16">
        <f>SUMIF(' 2-3-6. Travel&amp;Costs of Stay'!C:C,B29,' 2-3-6. Travel&amp;Costs of Stay'!P:P)</f>
        <v>4200</v>
      </c>
      <c r="I29" s="16">
        <f>SUMIF('4. Equipment Costs'!C:C,B29,'4. Equipment Costs'!H:H)</f>
        <v>0</v>
      </c>
      <c r="J29" s="16">
        <f>SUMIF('5. Subcontracting Costs'!C:C,B29,'5. Subcontracting Costs'!H:H)</f>
        <v>0</v>
      </c>
      <c r="K29" s="16">
        <f>SUMIF(' 2-3-6. Travel&amp;Costs of Stay'!C:C,B29,' 2-3-6. Travel&amp;Costs of Stay'!N:N)</f>
        <v>5600</v>
      </c>
      <c r="L29" s="17">
        <f t="shared" si="1"/>
        <v>18290</v>
      </c>
    </row>
    <row r="30" spans="2:12" x14ac:dyDescent="0.35">
      <c r="B30" s="44" t="s">
        <v>11</v>
      </c>
      <c r="C30" s="18" t="s">
        <v>363</v>
      </c>
      <c r="D30" s="14" t="s">
        <v>98</v>
      </c>
      <c r="E30" s="15" t="str">
        <f t="shared" si="0"/>
        <v>Programme Countries</v>
      </c>
      <c r="F30" s="16">
        <f>SUMIF('1. Staff costs'!C:C,B30,'1. Staff costs'!S:S)</f>
        <v>5550</v>
      </c>
      <c r="G30" s="16">
        <f>SUMIF(' 2-3-6. Travel&amp;Costs of Stay'!C:C,B30,' 2-3-6. Travel&amp;Costs of Stay'!O:O)</f>
        <v>0</v>
      </c>
      <c r="H30" s="16">
        <f>SUMIF(' 2-3-6. Travel&amp;Costs of Stay'!C:C,B30,' 2-3-6. Travel&amp;Costs of Stay'!P:P)</f>
        <v>18580</v>
      </c>
      <c r="I30" s="16">
        <f>SUMIF('4. Equipment Costs'!C:C,B30,'4. Equipment Costs'!H:H)</f>
        <v>0</v>
      </c>
      <c r="J30" s="16">
        <f>SUMIF('5. Subcontracting Costs'!C:C,B30,'5. Subcontracting Costs'!H:H)</f>
        <v>0</v>
      </c>
      <c r="K30" s="16">
        <f>SUMIF(' 2-3-6. Travel&amp;Costs of Stay'!C:C,B30,' 2-3-6. Travel&amp;Costs of Stay'!N:N)</f>
        <v>5200</v>
      </c>
      <c r="L30" s="17">
        <f t="shared" si="1"/>
        <v>29330</v>
      </c>
    </row>
    <row r="31" spans="2:12" x14ac:dyDescent="0.35">
      <c r="B31" s="44" t="s">
        <v>12</v>
      </c>
      <c r="C31" s="18" t="s">
        <v>364</v>
      </c>
      <c r="D31" s="14" t="s">
        <v>98</v>
      </c>
      <c r="E31" s="15" t="str">
        <f t="shared" si="0"/>
        <v>Programme Countries</v>
      </c>
      <c r="F31" s="16">
        <f>SUMIF('1. Staff costs'!C:C,B31,'1. Staff costs'!S:S)</f>
        <v>5740</v>
      </c>
      <c r="G31" s="16">
        <f>SUMIF(' 2-3-6. Travel&amp;Costs of Stay'!C:C,B31,' 2-3-6. Travel&amp;Costs of Stay'!O:O)</f>
        <v>0</v>
      </c>
      <c r="H31" s="16">
        <f>SUMIF(' 2-3-6. Travel&amp;Costs of Stay'!C:C,B31,' 2-3-6. Travel&amp;Costs of Stay'!P:P)</f>
        <v>1080</v>
      </c>
      <c r="I31" s="16">
        <f>SUMIF('4. Equipment Costs'!C:C,B31,'4. Equipment Costs'!H:H)</f>
        <v>0</v>
      </c>
      <c r="J31" s="16">
        <f>SUMIF('5. Subcontracting Costs'!C:C,B31,'5. Subcontracting Costs'!H:H)</f>
        <v>0</v>
      </c>
      <c r="K31" s="16">
        <f>SUMIF(' 2-3-6. Travel&amp;Costs of Stay'!C:C,B31,' 2-3-6. Travel&amp;Costs of Stay'!N:N)</f>
        <v>800</v>
      </c>
      <c r="L31" s="17">
        <f t="shared" si="1"/>
        <v>7620</v>
      </c>
    </row>
    <row r="32" spans="2:12" x14ac:dyDescent="0.35">
      <c r="B32" s="44" t="s">
        <v>13</v>
      </c>
      <c r="C32" s="18" t="s">
        <v>365</v>
      </c>
      <c r="D32" s="14" t="s">
        <v>98</v>
      </c>
      <c r="E32" s="15" t="str">
        <f t="shared" si="0"/>
        <v>Programme Countries</v>
      </c>
      <c r="F32" s="16">
        <f>SUMIF('1. Staff costs'!C:C,B32,'1. Staff costs'!S:S)</f>
        <v>7380</v>
      </c>
      <c r="G32" s="16">
        <f>SUMIF(' 2-3-6. Travel&amp;Costs of Stay'!C:C,B32,' 2-3-6. Travel&amp;Costs of Stay'!O:O)</f>
        <v>0</v>
      </c>
      <c r="H32" s="16">
        <f>SUMIF(' 2-3-6. Travel&amp;Costs of Stay'!C:C,B32,' 2-3-6. Travel&amp;Costs of Stay'!P:P)</f>
        <v>720</v>
      </c>
      <c r="I32" s="16">
        <f>SUMIF('4. Equipment Costs'!C:C,B32,'4. Equipment Costs'!H:H)</f>
        <v>0</v>
      </c>
      <c r="J32" s="16">
        <f>SUMIF('5. Subcontracting Costs'!C:C,B32,'5. Subcontracting Costs'!H:H)</f>
        <v>0</v>
      </c>
      <c r="K32" s="16">
        <f>SUMIF(' 2-3-6. Travel&amp;Costs of Stay'!C:C,B32,' 2-3-6. Travel&amp;Costs of Stay'!N:N)</f>
        <v>800</v>
      </c>
      <c r="L32" s="17">
        <f t="shared" si="1"/>
        <v>8900</v>
      </c>
    </row>
    <row r="33" spans="2:12" x14ac:dyDescent="0.35">
      <c r="B33" s="44" t="s">
        <v>14</v>
      </c>
      <c r="C33" s="18" t="s">
        <v>366</v>
      </c>
      <c r="D33" s="14" t="s">
        <v>98</v>
      </c>
      <c r="E33" s="15" t="str">
        <f t="shared" si="0"/>
        <v>Programme Countries</v>
      </c>
      <c r="F33" s="16">
        <f>SUMIF('1. Staff costs'!C:C,B33,'1. Staff costs'!S:S)</f>
        <v>5900</v>
      </c>
      <c r="G33" s="16">
        <f>SUMIF(' 2-3-6. Travel&amp;Costs of Stay'!C:C,B33,' 2-3-6. Travel&amp;Costs of Stay'!O:O)</f>
        <v>0</v>
      </c>
      <c r="H33" s="16">
        <f>SUMIF(' 2-3-6. Travel&amp;Costs of Stay'!C:C,B33,' 2-3-6. Travel&amp;Costs of Stay'!P:P)</f>
        <v>5250</v>
      </c>
      <c r="I33" s="16">
        <f>SUMIF('4. Equipment Costs'!C:C,B33,'4. Equipment Costs'!H:H)</f>
        <v>0</v>
      </c>
      <c r="J33" s="16">
        <f>SUMIF('5. Subcontracting Costs'!C:C,B33,'5. Subcontracting Costs'!H:H)</f>
        <v>0</v>
      </c>
      <c r="K33" s="16">
        <f>SUMIF(' 2-3-6. Travel&amp;Costs of Stay'!C:C,B33,' 2-3-6. Travel&amp;Costs of Stay'!N:N)</f>
        <v>1200</v>
      </c>
      <c r="L33" s="17">
        <f t="shared" si="1"/>
        <v>12350</v>
      </c>
    </row>
    <row r="34" spans="2:12" x14ac:dyDescent="0.35">
      <c r="B34" s="44" t="s">
        <v>15</v>
      </c>
      <c r="C34" s="18" t="s">
        <v>367</v>
      </c>
      <c r="D34" s="14" t="s">
        <v>39</v>
      </c>
      <c r="E34" s="15" t="str">
        <f t="shared" si="0"/>
        <v>Programme Countries</v>
      </c>
      <c r="F34" s="16">
        <f>SUMIF('1. Staff costs'!C:C,B34,'1. Staff costs'!S:S)</f>
        <v>14600</v>
      </c>
      <c r="G34" s="16">
        <f>SUMIF(' 2-3-6. Travel&amp;Costs of Stay'!C:C,B34,' 2-3-6. Travel&amp;Costs of Stay'!O:O)</f>
        <v>0</v>
      </c>
      <c r="H34" s="16">
        <f>SUMIF(' 2-3-6. Travel&amp;Costs of Stay'!C:C,B34,' 2-3-6. Travel&amp;Costs of Stay'!P:P)</f>
        <v>33600</v>
      </c>
      <c r="I34" s="16">
        <f>SUMIF('4. Equipment Costs'!C:C,B34,'4. Equipment Costs'!H:H)</f>
        <v>0</v>
      </c>
      <c r="J34" s="16">
        <f>SUMIF('5. Subcontracting Costs'!C:C,B34,'5. Subcontracting Costs'!H:H)</f>
        <v>0</v>
      </c>
      <c r="K34" s="16">
        <f>SUMIF(' 2-3-6. Travel&amp;Costs of Stay'!C:C,B34,' 2-3-6. Travel&amp;Costs of Stay'!N:N)</f>
        <v>8000</v>
      </c>
      <c r="L34" s="17">
        <f t="shared" si="1"/>
        <v>56200</v>
      </c>
    </row>
    <row r="35" spans="2:12" x14ac:dyDescent="0.35">
      <c r="B35" s="44" t="s">
        <v>16</v>
      </c>
      <c r="C35" s="18" t="s">
        <v>368</v>
      </c>
      <c r="D35" s="14" t="s">
        <v>45</v>
      </c>
      <c r="E35" s="15" t="str">
        <f t="shared" si="0"/>
        <v>Programme Countries</v>
      </c>
      <c r="F35" s="16">
        <f>SUMIF('1. Staff costs'!C:C,B35,'1. Staff costs'!S:S)</f>
        <v>13650</v>
      </c>
      <c r="G35" s="16">
        <f>SUMIF(' 2-3-6. Travel&amp;Costs of Stay'!C:C,B35,' 2-3-6. Travel&amp;Costs of Stay'!O:O)</f>
        <v>0</v>
      </c>
      <c r="H35" s="16">
        <f>SUMIF(' 2-3-6. Travel&amp;Costs of Stay'!C:C,B35,' 2-3-6. Travel&amp;Costs of Stay'!P:P)</f>
        <v>5880</v>
      </c>
      <c r="I35" s="16">
        <f>SUMIF('4. Equipment Costs'!C:C,B35,'4. Equipment Costs'!H:H)</f>
        <v>0</v>
      </c>
      <c r="J35" s="16">
        <f>SUMIF('5. Subcontracting Costs'!C:C,B35,'5. Subcontracting Costs'!H:H)</f>
        <v>0</v>
      </c>
      <c r="K35" s="16">
        <f>SUMIF(' 2-3-6. Travel&amp;Costs of Stay'!C:C,B35,' 2-3-6. Travel&amp;Costs of Stay'!N:N)</f>
        <v>3200</v>
      </c>
      <c r="L35" s="17">
        <f t="shared" si="1"/>
        <v>22730</v>
      </c>
    </row>
    <row r="36" spans="2:12" x14ac:dyDescent="0.35">
      <c r="B36" s="44" t="s">
        <v>17</v>
      </c>
      <c r="C36" s="18" t="s">
        <v>369</v>
      </c>
      <c r="D36" s="14" t="s">
        <v>40</v>
      </c>
      <c r="E36" s="15" t="str">
        <f t="shared" si="0"/>
        <v>Programme Countries</v>
      </c>
      <c r="F36" s="16">
        <f>SUMIF('1. Staff costs'!C:C,B36,'1. Staff costs'!S:S)</f>
        <v>22300</v>
      </c>
      <c r="G36" s="16">
        <f>SUMIF(' 2-3-6. Travel&amp;Costs of Stay'!C:C,B36,' 2-3-6. Travel&amp;Costs of Stay'!O:O)</f>
        <v>0</v>
      </c>
      <c r="H36" s="16">
        <f>SUMIF(' 2-3-6. Travel&amp;Costs of Stay'!C:C,B36,' 2-3-6. Travel&amp;Costs of Stay'!P:P)</f>
        <v>3000</v>
      </c>
      <c r="I36" s="16">
        <f>SUMIF('4. Equipment Costs'!C:C,B36,'4. Equipment Costs'!H:H)</f>
        <v>0</v>
      </c>
      <c r="J36" s="16">
        <f>SUMIF('5. Subcontracting Costs'!C:C,B36,'5. Subcontracting Costs'!H:H)</f>
        <v>0</v>
      </c>
      <c r="K36" s="16">
        <f>SUMIF(' 2-3-6. Travel&amp;Costs of Stay'!C:C,B36,' 2-3-6. Travel&amp;Costs of Stay'!N:N)</f>
        <v>2000</v>
      </c>
      <c r="L36" s="17">
        <f t="shared" si="1"/>
        <v>27300</v>
      </c>
    </row>
    <row r="37" spans="2:12" x14ac:dyDescent="0.35">
      <c r="B37" s="44" t="s">
        <v>18</v>
      </c>
      <c r="C37" s="18" t="s">
        <v>370</v>
      </c>
      <c r="D37" s="14" t="s">
        <v>44</v>
      </c>
      <c r="E37" s="15" t="str">
        <f>IFERROR(IF(D37&lt;&gt;"",VLOOKUP(D37,CountryType,2,FALSE),""),"Country not found")</f>
        <v>Programme Countries</v>
      </c>
      <c r="F37" s="16">
        <f>SUMIF('1. Staff costs'!C:C,B37,'1. Staff costs'!S:S)</f>
        <v>15910</v>
      </c>
      <c r="G37" s="16">
        <f>SUMIF(' 2-3-6. Travel&amp;Costs of Stay'!C:C,B37,' 2-3-6. Travel&amp;Costs of Stay'!O:O)</f>
        <v>0</v>
      </c>
      <c r="H37" s="16">
        <f>SUMIF(' 2-3-6. Travel&amp;Costs of Stay'!C:C,B37,' 2-3-6. Travel&amp;Costs of Stay'!P:P)</f>
        <v>1440</v>
      </c>
      <c r="I37" s="16">
        <f>SUMIF('4. Equipment Costs'!C:C,B37,'4. Equipment Costs'!H:H)</f>
        <v>0</v>
      </c>
      <c r="J37" s="16">
        <f>SUMIF('5. Subcontracting Costs'!C:C,B37,'5. Subcontracting Costs'!H:H)</f>
        <v>0</v>
      </c>
      <c r="K37" s="16">
        <f>SUMIF(' 2-3-6. Travel&amp;Costs of Stay'!C:C,B37,' 2-3-6. Travel&amp;Costs of Stay'!N:N)</f>
        <v>1600</v>
      </c>
      <c r="L37" s="17">
        <f>IF(OR(C37="",D37=""),0,SUM(F37:K37))</f>
        <v>18950</v>
      </c>
    </row>
    <row r="38" spans="2:12" x14ac:dyDescent="0.35">
      <c r="B38" s="44" t="s">
        <v>19</v>
      </c>
      <c r="C38" s="18" t="s">
        <v>371</v>
      </c>
      <c r="D38" s="14" t="s">
        <v>46</v>
      </c>
      <c r="E38" s="15" t="str">
        <f>IFERROR(IF(D38&lt;&gt;"",VLOOKUP(D38,CountryType,2,FALSE),""),"Country not found")</f>
        <v>Programme Countries</v>
      </c>
      <c r="F38" s="16">
        <f>SUMIF('1. Staff costs'!C:C,B38,'1. Staff costs'!S:S)</f>
        <v>10900</v>
      </c>
      <c r="G38" s="16">
        <f>SUMIF(' 2-3-6. Travel&amp;Costs of Stay'!C:C,B38,' 2-3-6. Travel&amp;Costs of Stay'!O:O)</f>
        <v>0</v>
      </c>
      <c r="H38" s="16">
        <f>SUMIF(' 2-3-6. Travel&amp;Costs of Stay'!C:C,B38,' 2-3-6. Travel&amp;Costs of Stay'!P:P)</f>
        <v>3000</v>
      </c>
      <c r="I38" s="16">
        <f>SUMIF('4. Equipment Costs'!C:C,B38,'4. Equipment Costs'!H:H)</f>
        <v>0</v>
      </c>
      <c r="J38" s="16">
        <f>SUMIF('5. Subcontracting Costs'!C:C,B38,'5. Subcontracting Costs'!H:H)</f>
        <v>0</v>
      </c>
      <c r="K38" s="16">
        <f>SUMIF(' 2-3-6. Travel&amp;Costs of Stay'!C:C,B38,' 2-3-6. Travel&amp;Costs of Stay'!N:N)</f>
        <v>1200</v>
      </c>
      <c r="L38" s="17">
        <f>IF(OR(C38="",D38=""),0,SUM(F38:K38))</f>
        <v>15100</v>
      </c>
    </row>
    <row r="39" spans="2:12" x14ac:dyDescent="0.35">
      <c r="B39" s="44" t="s">
        <v>156</v>
      </c>
      <c r="C39" s="18" t="s">
        <v>372</v>
      </c>
      <c r="D39" s="14" t="s">
        <v>3</v>
      </c>
      <c r="E39" s="15" t="str">
        <f t="shared" si="0"/>
        <v>Programme Countries</v>
      </c>
      <c r="F39" s="16">
        <f>SUMIF('1. Staff costs'!C:C,B39,'1. Staff costs'!S:S)</f>
        <v>26460</v>
      </c>
      <c r="G39" s="16">
        <f>SUMIF(' 2-3-6. Travel&amp;Costs of Stay'!C:C,B39,' 2-3-6. Travel&amp;Costs of Stay'!O:O)</f>
        <v>0</v>
      </c>
      <c r="H39" s="16">
        <f>SUMIF(' 2-3-6. Travel&amp;Costs of Stay'!C:C,B39,' 2-3-6. Travel&amp;Costs of Stay'!P:P)</f>
        <v>3000</v>
      </c>
      <c r="I39" s="16">
        <f>SUMIF('4. Equipment Costs'!C:C,B39,'4. Equipment Costs'!H:H)</f>
        <v>0</v>
      </c>
      <c r="J39" s="16">
        <f>SUMIF('5. Subcontracting Costs'!C:C,B39,'5. Subcontracting Costs'!H:H)</f>
        <v>0</v>
      </c>
      <c r="K39" s="16">
        <f>SUMIF(' 2-3-6. Travel&amp;Costs of Stay'!C:C,B39,' 2-3-6. Travel&amp;Costs of Stay'!N:N)</f>
        <v>2000</v>
      </c>
      <c r="L39" s="17">
        <f t="shared" si="1"/>
        <v>31460</v>
      </c>
    </row>
    <row r="40" spans="2:12" x14ac:dyDescent="0.35">
      <c r="B40" s="44" t="s">
        <v>20</v>
      </c>
      <c r="C40" s="18" t="s">
        <v>373</v>
      </c>
      <c r="D40" s="14" t="s">
        <v>39</v>
      </c>
      <c r="E40" s="15" t="str">
        <f t="shared" si="0"/>
        <v>Programme Countries</v>
      </c>
      <c r="F40" s="16">
        <f>SUMIF('1. Staff costs'!C:C,B40,'1. Staff costs'!S:S)</f>
        <v>30950</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30000</v>
      </c>
      <c r="K40" s="16">
        <f>SUMIF(' 2-3-6. Travel&amp;Costs of Stay'!C:C,B40,' 2-3-6. Travel&amp;Costs of Stay'!N:N)</f>
        <v>0</v>
      </c>
      <c r="L40" s="17">
        <f t="shared" si="1"/>
        <v>60950</v>
      </c>
    </row>
    <row r="41" spans="2:12" x14ac:dyDescent="0.35">
      <c r="B41" s="44" t="s">
        <v>21</v>
      </c>
      <c r="C41" s="18" t="s">
        <v>374</v>
      </c>
      <c r="D41" s="14" t="s">
        <v>29</v>
      </c>
      <c r="E41" s="15" t="str">
        <f t="shared" si="0"/>
        <v>Programme Countries</v>
      </c>
      <c r="F41" s="16">
        <f>SUMIF('1. Staff costs'!C:C,B41,'1. Staff costs'!S:S)</f>
        <v>35280</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35280</v>
      </c>
    </row>
    <row r="42" spans="2:12" x14ac:dyDescent="0.35">
      <c r="B42" s="44" t="s">
        <v>22</v>
      </c>
      <c r="C42" s="18" t="s">
        <v>375</v>
      </c>
      <c r="D42" s="14" t="s">
        <v>39</v>
      </c>
      <c r="E42" s="15" t="str">
        <f>IFERROR(IF(D42&lt;&gt;"",VLOOKUP(D42,CountryType,2,FALSE),""),"Country not found")</f>
        <v>Programme Countries</v>
      </c>
      <c r="F42" s="16">
        <f>SUMIF('1. Staff costs'!C:C,B42,'1. Staff costs'!S:S)</f>
        <v>21340</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20000</v>
      </c>
      <c r="K42" s="16">
        <f>SUMIF(' 2-3-6. Travel&amp;Costs of Stay'!C:C,B42,' 2-3-6. Travel&amp;Costs of Stay'!N:N)</f>
        <v>0</v>
      </c>
      <c r="L42" s="17">
        <f>IF(OR(C42="",D42=""),0,SUM(F42:K42))</f>
        <v>41340</v>
      </c>
    </row>
    <row r="43" spans="2:12" x14ac:dyDescent="0.35">
      <c r="B43" s="44" t="s">
        <v>23</v>
      </c>
      <c r="C43" s="18" t="s">
        <v>376</v>
      </c>
      <c r="D43" s="14" t="s">
        <v>35</v>
      </c>
      <c r="E43" s="15" t="str">
        <f>IFERROR(IF(D43&lt;&gt;"",VLOOKUP(D43,CountryType,2,FALSE),""),"Country not found")</f>
        <v>Programme Countries</v>
      </c>
      <c r="F43" s="16">
        <f>SUMIF('1. Staff costs'!C:C,B43,'1. Staff costs'!S:S)</f>
        <v>5990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IF(OR(C43="",D43=""),0,SUM(F43:K43))</f>
        <v>5990</v>
      </c>
    </row>
    <row r="44" spans="2:12" x14ac:dyDescent="0.35">
      <c r="B44" s="44" t="s">
        <v>24</v>
      </c>
      <c r="C44" s="18" t="s">
        <v>377</v>
      </c>
      <c r="D44" s="14" t="s">
        <v>31</v>
      </c>
      <c r="E44" s="15" t="str">
        <f t="shared" si="0"/>
        <v>Programme Countries</v>
      </c>
      <c r="F44" s="16">
        <f>SUMIF('1. Staff costs'!C:C,B44,'1. Staff costs'!S:S)</f>
        <v>20580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20580</v>
      </c>
    </row>
    <row r="45" spans="2:12" x14ac:dyDescent="0.35">
      <c r="B45" s="44" t="s">
        <v>25</v>
      </c>
      <c r="C45" s="18" t="s">
        <v>378</v>
      </c>
      <c r="D45" s="14" t="s">
        <v>36</v>
      </c>
      <c r="E45" s="15" t="str">
        <f t="shared" si="0"/>
        <v>Programme Countries</v>
      </c>
      <c r="F45" s="16">
        <f>SUMIF('1. Staff costs'!C:C,B45,'1. Staff costs'!S:S)</f>
        <v>23610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23610</v>
      </c>
    </row>
    <row r="46" spans="2:12" x14ac:dyDescent="0.35">
      <c r="B46" s="44" t="s">
        <v>26</v>
      </c>
      <c r="C46" s="18" t="s">
        <v>379</v>
      </c>
      <c r="D46" s="14" t="s">
        <v>4</v>
      </c>
      <c r="E46" s="15" t="str">
        <f t="shared" si="0"/>
        <v>Programme Countries</v>
      </c>
      <c r="F46" s="16">
        <f>SUMIF('1. Staff costs'!C:C,B46,'1. Staff costs'!S:S)</f>
        <v>15740</v>
      </c>
      <c r="G46" s="16">
        <f>SUMIF(' 2-3-6. Travel&amp;Costs of Stay'!C:C,B46,' 2-3-6. Travel&amp;Costs of Stay'!O:O)</f>
        <v>0</v>
      </c>
      <c r="H46" s="16">
        <f>SUMIF(' 2-3-6. Travel&amp;Costs of Stay'!C:C,B46,' 2-3-6. Travel&amp;Costs of Stay'!P:P)</f>
        <v>1800</v>
      </c>
      <c r="I46" s="16">
        <f>SUMIF('4. Equipment Costs'!C:C,B46,'4. Equipment Costs'!H:H)</f>
        <v>0</v>
      </c>
      <c r="J46" s="16">
        <f>SUMIF('5. Subcontracting Costs'!C:C,B46,'5. Subcontracting Costs'!H:H)</f>
        <v>30000</v>
      </c>
      <c r="K46" s="16">
        <f>SUMIF(' 2-3-6. Travel&amp;Costs of Stay'!C:C,B46,' 2-3-6. Travel&amp;Costs of Stay'!N:N)</f>
        <v>1600</v>
      </c>
      <c r="L46" s="17">
        <f t="shared" si="1"/>
        <v>49140</v>
      </c>
    </row>
    <row r="47" spans="2:12" x14ac:dyDescent="0.35">
      <c r="B47" s="44" t="s">
        <v>109</v>
      </c>
      <c r="C47" s="18" t="s">
        <v>390</v>
      </c>
      <c r="D47" s="14" t="s">
        <v>64</v>
      </c>
      <c r="E47" s="15" t="str">
        <f t="shared" si="0"/>
        <v>Partner Countries</v>
      </c>
      <c r="F47" s="16">
        <f>SUMIF('1. Staff costs'!C:C,B47,'1. Staff costs'!S:S)</f>
        <v>6600</v>
      </c>
      <c r="G47" s="16">
        <f>SUMIF(' 2-3-6. Travel&amp;Costs of Stay'!C:C,B47,' 2-3-6. Travel&amp;Costs of Stay'!O:O)</f>
        <v>21175</v>
      </c>
      <c r="H47" s="16">
        <f>SUMIF(' 2-3-6. Travel&amp;Costs of Stay'!C:C,B47,' 2-3-6. Travel&amp;Costs of Stay'!P:P)</f>
        <v>102000</v>
      </c>
      <c r="I47" s="16">
        <f>SUMIF('4. Equipment Costs'!C:C,B47,'4. Equipment Costs'!H:H)</f>
        <v>233000</v>
      </c>
      <c r="J47" s="16">
        <f>SUMIF('5. Subcontracting Costs'!C:C,B47,'5. Subcontracting Costs'!H:H)</f>
        <v>0</v>
      </c>
      <c r="K47" s="16">
        <f>SUMIF(' 2-3-6. Travel&amp;Costs of Stay'!C:C,B47,' 2-3-6. Travel&amp;Costs of Stay'!N:N)</f>
        <v>2000</v>
      </c>
      <c r="L47" s="17">
        <f t="shared" si="1"/>
        <v>364775</v>
      </c>
    </row>
    <row r="48" spans="2:12" x14ac:dyDescent="0.35">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409" priority="18">
      <formula>D17&gt;ROUND(D23*0.4,2)</formula>
    </cfRule>
  </conditionalFormatting>
  <conditionalFormatting sqref="D20">
    <cfRule type="expression" dxfId="408" priority="16">
      <formula>D20&gt;ROUND(D23*0.3,2)</formula>
    </cfRule>
  </conditionalFormatting>
  <conditionalFormatting sqref="D21">
    <cfRule type="expression" dxfId="407" priority="14">
      <formula>D21&gt;ROUND(D23*0.1,2)</formula>
    </cfRule>
  </conditionalFormatting>
  <conditionalFormatting sqref="D23">
    <cfRule type="cellIs" dxfId="406" priority="12" operator="notBetween">
      <formula>500000</formula>
      <formula>1000000</formula>
    </cfRule>
  </conditionalFormatting>
  <conditionalFormatting sqref="E18 I18">
    <cfRule type="cellIs" dxfId="405" priority="2" operator="equal">
      <formula>"Exceptional travel costs exceed 80% of total travel costs"</formula>
    </cfRule>
  </conditionalFormatting>
  <conditionalFormatting sqref="I19">
    <cfRule type="cellIs" dxfId="404"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339</v>
      </c>
      <c r="B1" s="81"/>
    </row>
    <row r="2" spans="1:2" x14ac:dyDescent="0.3">
      <c r="A2" s="82" t="s">
        <v>166</v>
      </c>
      <c r="B2" s="82" t="str">
        <f>IF(COUNTIF('1. Staff costs'!T:T,"Error")&lt;=1,"OK","Please check data in Tab '"&amp;A2&amp;"'")</f>
        <v>OK</v>
      </c>
    </row>
    <row r="3" spans="1:2" x14ac:dyDescent="0.3">
      <c r="A3" s="83" t="s">
        <v>338</v>
      </c>
      <c r="B3" s="83" t="str">
        <f>IF(COUNTIF(' 2-3-6. Travel&amp;Costs of Stay'!R:R,"Error")&lt;=1,"OK","Please check data in Tab '"&amp;A3&amp;"'")</f>
        <v>OK</v>
      </c>
    </row>
    <row r="4" spans="1:2" x14ac:dyDescent="0.3">
      <c r="A4" s="83" t="s">
        <v>185</v>
      </c>
      <c r="B4" s="83" t="str">
        <f>IF(COUNTIF('4. Equipment Costs'!I:T,"Error")&lt;=1,"OK","Please check data in Tab '"&amp;A4&amp;"'")</f>
        <v>OK</v>
      </c>
    </row>
    <row r="5" spans="1:2" x14ac:dyDescent="0.3">
      <c r="A5" s="83" t="s">
        <v>186</v>
      </c>
      <c r="B5" s="83" t="str">
        <f>IF(COUNTIF('5. Subcontracting Costs'!I:I,"Error")&lt;=1,"OK","Please check data in Tab '"&amp;A5&amp;"'")</f>
        <v>OK</v>
      </c>
    </row>
    <row r="6" spans="1:2" x14ac:dyDescent="0.3">
      <c r="A6" s="83" t="s">
        <v>337</v>
      </c>
      <c r="B6" s="83" t="str">
        <f>IF(COUNTIF('Co-financing'!J:J,"Error")&lt;=1,"OK","Please check data in Tab '"&amp;A6&amp;"'")</f>
        <v>OK</v>
      </c>
    </row>
    <row r="7" spans="1:2" x14ac:dyDescent="0.3">
      <c r="A7" s="84" t="s">
        <v>336</v>
      </c>
      <c r="B7" s="84" t="str">
        <f>IF(' 2-3-6. Travel&amp;Costs of Stay'!K4="","OK","Please check Exceptional Travel Costs (EUR) in Tab '"&amp;A3&amp;"'")</f>
        <v>OK</v>
      </c>
    </row>
  </sheetData>
  <conditionalFormatting sqref="B2:B7">
    <cfRule type="cellIs" dxfId="402" priority="5" operator="notEqual">
      <formula>"OK"</formula>
    </cfRule>
    <cfRule type="cellIs" dxfId="401"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34"/>
  <sheetViews>
    <sheetView showGridLines="0" tabSelected="1" topLeftCell="E1" zoomScale="59" zoomScaleNormal="70" zoomScaleSheetLayoutView="55" workbookViewId="0">
      <pane ySplit="13" topLeftCell="A14" activePane="bottomLeft" state="frozen"/>
      <selection pane="bottomLeft" activeCell="B14" sqref="B14"/>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39" t="s">
        <v>166</v>
      </c>
      <c r="C2" s="139"/>
      <c r="D2" s="139"/>
      <c r="E2" s="139"/>
      <c r="F2" s="139"/>
      <c r="G2" s="139"/>
      <c r="H2" s="139"/>
      <c r="I2" s="139"/>
      <c r="J2" s="139"/>
      <c r="K2" s="139"/>
      <c r="L2" s="139"/>
      <c r="M2" s="139"/>
      <c r="N2" s="139"/>
      <c r="O2" s="139"/>
      <c r="P2" s="139"/>
      <c r="Q2" s="139"/>
      <c r="R2" s="139"/>
      <c r="S2" s="139"/>
      <c r="T2" s="139"/>
    </row>
    <row r="3" spans="2:20" s="20" customFormat="1" ht="8.1" customHeight="1" x14ac:dyDescent="0.35">
      <c r="B3" s="158"/>
      <c r="C3" s="159"/>
      <c r="D3" s="159"/>
      <c r="E3" s="159"/>
      <c r="F3" s="159"/>
      <c r="G3" s="159"/>
      <c r="H3" s="159"/>
      <c r="I3" s="159"/>
      <c r="J3" s="159"/>
      <c r="K3" s="159"/>
      <c r="L3" s="159"/>
      <c r="M3" s="159"/>
      <c r="N3" s="159"/>
      <c r="O3" s="159"/>
      <c r="P3" s="159"/>
      <c r="Q3" s="159"/>
      <c r="R3" s="159"/>
      <c r="S3" s="159"/>
      <c r="T3" s="160"/>
    </row>
    <row r="4" spans="2:20" s="20" customFormat="1" ht="20.100000000000001" customHeight="1" x14ac:dyDescent="0.35">
      <c r="B4" s="150"/>
      <c r="C4" s="151"/>
      <c r="D4" s="40" t="s">
        <v>184</v>
      </c>
      <c r="E4" s="40" t="s">
        <v>182</v>
      </c>
      <c r="F4" s="154"/>
      <c r="G4" s="155"/>
      <c r="H4" s="155"/>
      <c r="I4" s="155"/>
      <c r="J4" s="155"/>
      <c r="K4" s="155"/>
      <c r="L4" s="155"/>
      <c r="M4" s="155"/>
      <c r="N4" s="155"/>
      <c r="O4" s="155"/>
      <c r="P4" s="155"/>
      <c r="Q4" s="155"/>
      <c r="R4" s="155"/>
      <c r="S4" s="155"/>
      <c r="T4" s="156"/>
    </row>
    <row r="5" spans="2:20" s="20" customFormat="1" ht="20.100000000000001" customHeight="1" x14ac:dyDescent="0.35">
      <c r="B5" s="146" t="s">
        <v>131</v>
      </c>
      <c r="C5" s="147"/>
      <c r="D5" s="41">
        <f>SUM(H:H)</f>
        <v>101240</v>
      </c>
      <c r="E5" s="24">
        <f>SUMIF(T:T,"&lt;&gt;Error",F:F)</f>
        <v>520</v>
      </c>
      <c r="F5" s="154"/>
      <c r="G5" s="155"/>
      <c r="H5" s="155"/>
      <c r="I5" s="155"/>
      <c r="J5" s="155"/>
      <c r="K5" s="155"/>
      <c r="L5" s="155"/>
      <c r="M5" s="155"/>
      <c r="N5" s="155"/>
      <c r="O5" s="155"/>
      <c r="P5" s="155"/>
      <c r="Q5" s="155"/>
      <c r="R5" s="155"/>
      <c r="S5" s="155"/>
      <c r="T5" s="156"/>
    </row>
    <row r="6" spans="2:20" s="20" customFormat="1" ht="20.100000000000001" customHeight="1" x14ac:dyDescent="0.35">
      <c r="B6" s="148" t="s">
        <v>129</v>
      </c>
      <c r="C6" s="149"/>
      <c r="D6" s="41">
        <f>SUM(K:K)</f>
        <v>78960</v>
      </c>
      <c r="E6" s="24">
        <f>SUMIF(T:T,"&lt;&gt;Error",I:I)</f>
        <v>555</v>
      </c>
      <c r="F6" s="154"/>
      <c r="G6" s="155"/>
      <c r="H6" s="155"/>
      <c r="I6" s="155"/>
      <c r="J6" s="155"/>
      <c r="K6" s="155"/>
      <c r="L6" s="155"/>
      <c r="M6" s="155"/>
      <c r="N6" s="155"/>
      <c r="O6" s="155"/>
      <c r="P6" s="155"/>
      <c r="Q6" s="155"/>
      <c r="R6" s="155"/>
      <c r="S6" s="155"/>
      <c r="T6" s="156"/>
    </row>
    <row r="7" spans="2:20" s="20" customFormat="1" ht="20.100000000000001" customHeight="1" x14ac:dyDescent="0.35">
      <c r="B7" s="146" t="s">
        <v>314</v>
      </c>
      <c r="C7" s="147"/>
      <c r="D7" s="41">
        <f>SUM(N:N)</f>
        <v>71830</v>
      </c>
      <c r="E7" s="24">
        <f>SUMIF(T:T,"&lt;&gt;Error",L:L)</f>
        <v>685</v>
      </c>
      <c r="F7" s="154"/>
      <c r="G7" s="155"/>
      <c r="H7" s="155"/>
      <c r="I7" s="155"/>
      <c r="J7" s="155"/>
      <c r="K7" s="155"/>
      <c r="L7" s="155"/>
      <c r="M7" s="155"/>
      <c r="N7" s="155"/>
      <c r="O7" s="155"/>
      <c r="P7" s="155"/>
      <c r="Q7" s="155"/>
      <c r="R7" s="155"/>
      <c r="S7" s="155"/>
      <c r="T7" s="156"/>
    </row>
    <row r="8" spans="2:20" s="20" customFormat="1" ht="20.100000000000001" customHeight="1" x14ac:dyDescent="0.35">
      <c r="B8" s="146" t="s">
        <v>313</v>
      </c>
      <c r="C8" s="147"/>
      <c r="D8" s="41">
        <f>SUM(Q:Q)</f>
        <v>62650</v>
      </c>
      <c r="E8" s="24">
        <f>SUMIF(T:T,"&lt;&gt;Error",O:O)</f>
        <v>790</v>
      </c>
      <c r="F8" s="154"/>
      <c r="G8" s="155"/>
      <c r="H8" s="155"/>
      <c r="I8" s="155"/>
      <c r="J8" s="155"/>
      <c r="K8" s="155"/>
      <c r="L8" s="155"/>
      <c r="M8" s="155"/>
      <c r="N8" s="155"/>
      <c r="O8" s="155"/>
      <c r="P8" s="155"/>
      <c r="Q8" s="155"/>
      <c r="R8" s="155"/>
      <c r="S8" s="155"/>
      <c r="T8" s="156"/>
    </row>
    <row r="9" spans="2:20" s="20" customFormat="1" ht="20.100000000000001" customHeight="1" x14ac:dyDescent="0.35">
      <c r="B9" s="152"/>
      <c r="C9" s="153"/>
      <c r="D9" s="26">
        <f>SUM(D5:D8)</f>
        <v>314680</v>
      </c>
      <c r="E9" s="25">
        <f>SUM(E5:E8)</f>
        <v>2550</v>
      </c>
      <c r="F9" s="154"/>
      <c r="G9" s="155"/>
      <c r="H9" s="155"/>
      <c r="I9" s="155"/>
      <c r="J9" s="155"/>
      <c r="K9" s="155"/>
      <c r="L9" s="155"/>
      <c r="M9" s="155"/>
      <c r="N9" s="155"/>
      <c r="O9" s="155"/>
      <c r="P9" s="155"/>
      <c r="Q9" s="155"/>
      <c r="R9" s="155"/>
      <c r="S9" s="155"/>
      <c r="T9" s="156"/>
    </row>
    <row r="10" spans="2:20" s="20" customFormat="1" ht="8.1" customHeight="1" x14ac:dyDescent="0.35">
      <c r="B10" s="150"/>
      <c r="C10" s="157"/>
      <c r="D10" s="157"/>
      <c r="E10" s="157"/>
      <c r="F10" s="157"/>
      <c r="G10" s="157"/>
      <c r="H10" s="157"/>
      <c r="I10" s="157"/>
      <c r="J10" s="157"/>
      <c r="K10" s="157"/>
      <c r="L10" s="157"/>
      <c r="M10" s="157"/>
      <c r="N10" s="157"/>
      <c r="O10" s="157"/>
      <c r="P10" s="157"/>
      <c r="Q10" s="157"/>
      <c r="R10" s="157"/>
      <c r="S10" s="157"/>
      <c r="T10" s="151"/>
    </row>
    <row r="11" spans="2:20" s="45" customFormat="1" ht="23.1" customHeight="1" x14ac:dyDescent="0.35">
      <c r="B11" s="140" t="s">
        <v>162</v>
      </c>
      <c r="C11" s="140" t="s">
        <v>147</v>
      </c>
      <c r="D11" s="140" t="s">
        <v>216</v>
      </c>
      <c r="E11" s="140" t="s">
        <v>217</v>
      </c>
      <c r="F11" s="142" t="str">
        <f>'Unit Costs &amp; Funding Rule'!D7</f>
        <v>Manager</v>
      </c>
      <c r="G11" s="142"/>
      <c r="H11" s="142"/>
      <c r="I11" s="143" t="str">
        <f>'Unit Costs &amp; Funding Rule'!E7</f>
        <v>Teacher/Trainer/Researcher</v>
      </c>
      <c r="J11" s="144"/>
      <c r="K11" s="145"/>
      <c r="L11" s="142" t="str">
        <f>'Unit Costs &amp; Funding Rule'!F7</f>
        <v>Technical Staff</v>
      </c>
      <c r="M11" s="142"/>
      <c r="N11" s="142"/>
      <c r="O11" s="142" t="str">
        <f>'Unit Costs &amp; Funding Rule'!G7</f>
        <v>Administrative Staff</v>
      </c>
      <c r="P11" s="142"/>
      <c r="Q11" s="142"/>
      <c r="R11" s="140" t="s">
        <v>198</v>
      </c>
      <c r="S11" s="140" t="s">
        <v>163</v>
      </c>
      <c r="T11" s="140" t="s">
        <v>218</v>
      </c>
    </row>
    <row r="12" spans="2:20" s="45" customFormat="1" ht="42" customHeight="1" x14ac:dyDescent="0.35">
      <c r="B12" s="141"/>
      <c r="C12" s="141"/>
      <c r="D12" s="141"/>
      <c r="E12" s="141"/>
      <c r="F12" s="46" t="s">
        <v>207</v>
      </c>
      <c r="G12" s="27" t="s">
        <v>211</v>
      </c>
      <c r="H12" s="46" t="s">
        <v>164</v>
      </c>
      <c r="I12" s="46" t="s">
        <v>207</v>
      </c>
      <c r="J12" s="27" t="s">
        <v>211</v>
      </c>
      <c r="K12" s="46" t="s">
        <v>164</v>
      </c>
      <c r="L12" s="46" t="s">
        <v>207</v>
      </c>
      <c r="M12" s="27" t="s">
        <v>211</v>
      </c>
      <c r="N12" s="46" t="s">
        <v>164</v>
      </c>
      <c r="O12" s="46" t="s">
        <v>207</v>
      </c>
      <c r="P12" s="27" t="s">
        <v>211</v>
      </c>
      <c r="Q12" s="46" t="s">
        <v>164</v>
      </c>
      <c r="R12" s="141"/>
      <c r="S12" s="141"/>
      <c r="T12" s="141"/>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318</v>
      </c>
      <c r="C14" s="19" t="s">
        <v>8</v>
      </c>
      <c r="D14" s="42" t="str">
        <f t="shared" si="0"/>
        <v>BNV (Bošnjačko nacionalno vijeće)</v>
      </c>
      <c r="E14" s="42" t="str">
        <f t="shared" si="1"/>
        <v>Serbia</v>
      </c>
      <c r="F14" s="99">
        <v>20</v>
      </c>
      <c r="G14" s="29">
        <f t="shared" si="2"/>
        <v>88</v>
      </c>
      <c r="H14" s="30">
        <f t="shared" si="3"/>
        <v>1760</v>
      </c>
      <c r="I14" s="100">
        <v>20</v>
      </c>
      <c r="J14" s="29">
        <f t="shared" si="4"/>
        <v>74</v>
      </c>
      <c r="K14" s="30">
        <f t="shared" si="5"/>
        <v>1480</v>
      </c>
      <c r="L14" s="101">
        <v>50</v>
      </c>
      <c r="M14" s="29">
        <f t="shared" si="6"/>
        <v>55</v>
      </c>
      <c r="N14" s="30">
        <f t="shared" si="7"/>
        <v>2750</v>
      </c>
      <c r="O14" s="105">
        <v>40</v>
      </c>
      <c r="P14" s="29">
        <f t="shared" si="8"/>
        <v>39</v>
      </c>
      <c r="Q14" s="30">
        <f t="shared" si="9"/>
        <v>1560</v>
      </c>
      <c r="R14" s="31">
        <f t="shared" si="10"/>
        <v>130</v>
      </c>
      <c r="S14" s="32">
        <f t="shared" si="11"/>
        <v>7550</v>
      </c>
      <c r="T14" s="33" t="str">
        <f t="shared" si="12"/>
        <v/>
      </c>
    </row>
    <row r="15" spans="2:20" s="34" customFormat="1" x14ac:dyDescent="0.3">
      <c r="B15" s="14" t="s">
        <v>318</v>
      </c>
      <c r="C15" s="19" t="s">
        <v>9</v>
      </c>
      <c r="D15" s="42" t="str">
        <f t="shared" ref="D15:D34" si="13">IFERROR(IF(VLOOKUP(C15,PartnerN°Ref,2,FALSE)=0,"",VLOOKUP(C15,PartnerN°Ref,2,FALSE)),"")</f>
        <v>Narodni muzej u Beogradu</v>
      </c>
      <c r="E15" s="42" t="str">
        <f t="shared" ref="E15:E34" si="14">IFERROR(IF(OR(VLOOKUP(C15,PartnerN°Ref,4,FALSE)="Country not found",VLOOKUP(C15,PartnerN°Ref,3,FALSE)=0),"",VLOOKUP(C15,PartnerN°Ref,3,FALSE)),"")</f>
        <v>Serbia</v>
      </c>
      <c r="F15" s="99">
        <v>20</v>
      </c>
      <c r="G15" s="29">
        <f t="shared" ref="G15:G34" si="15">IF(T15="Error",0,INDEX(Rates,MATCH(E15,CountryALL,0),MATCH($F$11,Category,0)))</f>
        <v>88</v>
      </c>
      <c r="H15" s="30">
        <f t="shared" ref="H15:H34" si="16">IFERROR(IF(T15="Error",0,ROUND(F15*G15,2)),0)</f>
        <v>1760</v>
      </c>
      <c r="I15" s="100">
        <v>50</v>
      </c>
      <c r="J15" s="29">
        <f t="shared" ref="J15:J34" si="17">IF(T15="Error",0,INDEX(Rates,MATCH(E15,CountryALL,0),MATCH($I$11,Category,0)))</f>
        <v>74</v>
      </c>
      <c r="K15" s="30">
        <f t="shared" ref="K15:K34" si="18">IFERROR(IF(T15="Error",0,ROUND(I15*J15,2)),0)</f>
        <v>3700</v>
      </c>
      <c r="L15" s="101">
        <v>50</v>
      </c>
      <c r="M15" s="29">
        <f t="shared" ref="M15:M34" si="19">IF(T15="Error",0,INDEX(Rates,MATCH(E15,CountryALL,0),MATCH($L$11,Category,0)))</f>
        <v>55</v>
      </c>
      <c r="N15" s="30">
        <f t="shared" ref="N15:N34" si="20">IFERROR(IF(T15="Error",0,ROUND(L15*M15,2)),0)</f>
        <v>2750</v>
      </c>
      <c r="O15" s="105">
        <v>50</v>
      </c>
      <c r="P15" s="29">
        <f t="shared" ref="P15:P34" si="21">IF(T15="Error",0,INDEX(Rates,MATCH(E15,CountryALL,0),MATCH($O$11,Category,0)))</f>
        <v>39</v>
      </c>
      <c r="Q15" s="30">
        <f t="shared" ref="Q15:Q34" si="22">IFERROR(IF(T15="Error",0,ROUND(O15*P15,2)),0)</f>
        <v>1950</v>
      </c>
      <c r="R15" s="31">
        <f t="shared" ref="R15:R34" si="23">IF(T15="Error",0,F15+I15+L15+O15)</f>
        <v>170</v>
      </c>
      <c r="S15" s="32">
        <f t="shared" ref="S15:S34" si="24">IF(T15="Error",0,H15+K15+N15+Q15)</f>
        <v>10160</v>
      </c>
      <c r="T15" s="33" t="str">
        <f t="shared" ref="T15:T34"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318</v>
      </c>
      <c r="C16" s="19" t="s">
        <v>10</v>
      </c>
      <c r="D16" s="42" t="str">
        <f t="shared" si="13"/>
        <v>Etnografski muzej u Beogradu</v>
      </c>
      <c r="E16" s="42" t="str">
        <f t="shared" si="14"/>
        <v>Serbia</v>
      </c>
      <c r="F16" s="99">
        <v>20</v>
      </c>
      <c r="G16" s="29">
        <f t="shared" si="15"/>
        <v>88</v>
      </c>
      <c r="H16" s="30">
        <f t="shared" si="16"/>
        <v>1760</v>
      </c>
      <c r="I16" s="100">
        <v>20</v>
      </c>
      <c r="J16" s="29">
        <f t="shared" si="17"/>
        <v>74</v>
      </c>
      <c r="K16" s="30">
        <f t="shared" si="18"/>
        <v>1480</v>
      </c>
      <c r="L16" s="101">
        <v>60</v>
      </c>
      <c r="M16" s="29">
        <f t="shared" si="19"/>
        <v>55</v>
      </c>
      <c r="N16" s="30">
        <f t="shared" si="20"/>
        <v>3300</v>
      </c>
      <c r="O16" s="105">
        <v>50</v>
      </c>
      <c r="P16" s="29">
        <f t="shared" si="21"/>
        <v>39</v>
      </c>
      <c r="Q16" s="30">
        <f t="shared" si="22"/>
        <v>1950</v>
      </c>
      <c r="R16" s="31">
        <f t="shared" si="23"/>
        <v>150</v>
      </c>
      <c r="S16" s="32">
        <f t="shared" si="24"/>
        <v>8490</v>
      </c>
      <c r="T16" s="33" t="str">
        <f t="shared" si="25"/>
        <v/>
      </c>
    </row>
    <row r="17" spans="2:20" s="34" customFormat="1" ht="18" customHeight="1" x14ac:dyDescent="0.3">
      <c r="B17" s="14" t="s">
        <v>318</v>
      </c>
      <c r="C17" s="19" t="s">
        <v>16</v>
      </c>
      <c r="D17" s="42" t="str">
        <f t="shared" si="13"/>
        <v>Instituto del Patrimonio Cultural de España</v>
      </c>
      <c r="E17" s="42" t="str">
        <f t="shared" si="14"/>
        <v>Spain</v>
      </c>
      <c r="F17" s="99">
        <v>20</v>
      </c>
      <c r="G17" s="29">
        <f t="shared" si="15"/>
        <v>164</v>
      </c>
      <c r="H17" s="30">
        <f t="shared" si="16"/>
        <v>3280</v>
      </c>
      <c r="I17" s="100">
        <v>10</v>
      </c>
      <c r="J17" s="29">
        <f t="shared" si="17"/>
        <v>137</v>
      </c>
      <c r="K17" s="30">
        <f t="shared" si="18"/>
        <v>1370</v>
      </c>
      <c r="L17" s="101">
        <v>50</v>
      </c>
      <c r="M17" s="29">
        <f t="shared" si="19"/>
        <v>102</v>
      </c>
      <c r="N17" s="30">
        <f t="shared" si="20"/>
        <v>5100</v>
      </c>
      <c r="O17" s="105">
        <v>50</v>
      </c>
      <c r="P17" s="29">
        <f t="shared" si="21"/>
        <v>78</v>
      </c>
      <c r="Q17" s="30">
        <f t="shared" si="22"/>
        <v>3900</v>
      </c>
      <c r="R17" s="31">
        <f t="shared" si="23"/>
        <v>130</v>
      </c>
      <c r="S17" s="32">
        <f t="shared" si="24"/>
        <v>13650</v>
      </c>
      <c r="T17" s="33" t="str">
        <f t="shared" si="25"/>
        <v/>
      </c>
    </row>
    <row r="18" spans="2:20" s="34" customFormat="1" x14ac:dyDescent="0.3">
      <c r="B18" s="14" t="s">
        <v>318</v>
      </c>
      <c r="C18" s="19" t="s">
        <v>19</v>
      </c>
      <c r="D18" s="42" t="str">
        <f t="shared" si="13"/>
        <v>Muzej grada Zagreba</v>
      </c>
      <c r="E18" s="42" t="str">
        <f t="shared" si="14"/>
        <v>Croatia</v>
      </c>
      <c r="F18" s="99">
        <v>20</v>
      </c>
      <c r="G18" s="29">
        <f t="shared" si="15"/>
        <v>88</v>
      </c>
      <c r="H18" s="30">
        <f t="shared" si="16"/>
        <v>1760</v>
      </c>
      <c r="I18" s="100">
        <v>60</v>
      </c>
      <c r="J18" s="29">
        <f t="shared" si="17"/>
        <v>74</v>
      </c>
      <c r="K18" s="30">
        <f t="shared" si="18"/>
        <v>4440</v>
      </c>
      <c r="L18" s="101">
        <v>50</v>
      </c>
      <c r="M18" s="29">
        <f t="shared" si="19"/>
        <v>55</v>
      </c>
      <c r="N18" s="30">
        <f t="shared" si="20"/>
        <v>2750</v>
      </c>
      <c r="O18" s="105">
        <v>50</v>
      </c>
      <c r="P18" s="29">
        <f t="shared" si="21"/>
        <v>39</v>
      </c>
      <c r="Q18" s="30">
        <f t="shared" si="22"/>
        <v>1950</v>
      </c>
      <c r="R18" s="31">
        <f t="shared" si="23"/>
        <v>180</v>
      </c>
      <c r="S18" s="32">
        <f t="shared" si="24"/>
        <v>10900</v>
      </c>
      <c r="T18" s="33" t="str">
        <f t="shared" si="25"/>
        <v/>
      </c>
    </row>
    <row r="19" spans="2:20" s="34" customFormat="1" x14ac:dyDescent="0.3">
      <c r="B19" s="14" t="s">
        <v>318</v>
      </c>
      <c r="C19" s="19" t="s">
        <v>24</v>
      </c>
      <c r="D19" s="42" t="str">
        <f t="shared" si="13"/>
        <v>Rijksmuseum</v>
      </c>
      <c r="E19" s="42" t="str">
        <f t="shared" si="14"/>
        <v>Netherlands</v>
      </c>
      <c r="F19" s="99">
        <v>30</v>
      </c>
      <c r="G19" s="29">
        <f t="shared" si="15"/>
        <v>294</v>
      </c>
      <c r="H19" s="30">
        <f t="shared" si="16"/>
        <v>8820</v>
      </c>
      <c r="I19" s="100">
        <v>20</v>
      </c>
      <c r="J19" s="29">
        <f t="shared" si="17"/>
        <v>241</v>
      </c>
      <c r="K19" s="30">
        <f t="shared" si="18"/>
        <v>4820</v>
      </c>
      <c r="L19" s="101">
        <v>20</v>
      </c>
      <c r="M19" s="29">
        <f t="shared" si="19"/>
        <v>190</v>
      </c>
      <c r="N19" s="30">
        <f t="shared" si="20"/>
        <v>3800</v>
      </c>
      <c r="O19" s="105">
        <v>20</v>
      </c>
      <c r="P19" s="29">
        <f t="shared" si="21"/>
        <v>157</v>
      </c>
      <c r="Q19" s="30">
        <f t="shared" si="22"/>
        <v>3140</v>
      </c>
      <c r="R19" s="31">
        <f t="shared" si="23"/>
        <v>90</v>
      </c>
      <c r="S19" s="32">
        <f t="shared" si="24"/>
        <v>20580</v>
      </c>
      <c r="T19" s="33" t="str">
        <f t="shared" si="25"/>
        <v/>
      </c>
    </row>
    <row r="20" spans="2:20" s="34" customFormat="1" x14ac:dyDescent="0.3">
      <c r="B20" s="14" t="s">
        <v>318</v>
      </c>
      <c r="C20" s="19" t="s">
        <v>25</v>
      </c>
      <c r="D20" s="42" t="str">
        <f t="shared" si="13"/>
        <v>Staatliche Museen zu Berlin</v>
      </c>
      <c r="E20" s="42" t="str">
        <f t="shared" si="14"/>
        <v>Germany</v>
      </c>
      <c r="F20" s="99">
        <v>30</v>
      </c>
      <c r="G20" s="29">
        <f t="shared" si="15"/>
        <v>280</v>
      </c>
      <c r="H20" s="30">
        <f t="shared" si="16"/>
        <v>8400</v>
      </c>
      <c r="I20" s="100">
        <v>30</v>
      </c>
      <c r="J20" s="29">
        <f t="shared" si="17"/>
        <v>214</v>
      </c>
      <c r="K20" s="30">
        <f t="shared" si="18"/>
        <v>6420</v>
      </c>
      <c r="L20" s="101">
        <v>30</v>
      </c>
      <c r="M20" s="29">
        <f t="shared" si="19"/>
        <v>162</v>
      </c>
      <c r="N20" s="30">
        <f t="shared" si="20"/>
        <v>4860</v>
      </c>
      <c r="O20" s="105">
        <v>30</v>
      </c>
      <c r="P20" s="29">
        <f t="shared" si="21"/>
        <v>131</v>
      </c>
      <c r="Q20" s="30">
        <f t="shared" si="22"/>
        <v>3930</v>
      </c>
      <c r="R20" s="31">
        <f t="shared" si="23"/>
        <v>120</v>
      </c>
      <c r="S20" s="32">
        <f t="shared" si="24"/>
        <v>23610</v>
      </c>
      <c r="T20" s="33" t="str">
        <f t="shared" si="25"/>
        <v/>
      </c>
    </row>
    <row r="21" spans="2:20" s="34" customFormat="1" x14ac:dyDescent="0.3">
      <c r="B21" s="14" t="s">
        <v>319</v>
      </c>
      <c r="C21" s="19" t="s">
        <v>11</v>
      </c>
      <c r="D21" s="42" t="str">
        <f t="shared" si="13"/>
        <v>Zavod za zaštitu spomenika kulture Novog Pazara</v>
      </c>
      <c r="E21" s="42" t="str">
        <f t="shared" si="14"/>
        <v>Serbia</v>
      </c>
      <c r="F21" s="99">
        <v>20</v>
      </c>
      <c r="G21" s="29">
        <f t="shared" si="15"/>
        <v>88</v>
      </c>
      <c r="H21" s="30">
        <f t="shared" si="16"/>
        <v>1760</v>
      </c>
      <c r="I21" s="100">
        <v>10</v>
      </c>
      <c r="J21" s="29">
        <f t="shared" si="17"/>
        <v>74</v>
      </c>
      <c r="K21" s="30">
        <f t="shared" si="18"/>
        <v>740</v>
      </c>
      <c r="L21" s="101">
        <v>20</v>
      </c>
      <c r="M21" s="29">
        <f t="shared" si="19"/>
        <v>55</v>
      </c>
      <c r="N21" s="30">
        <f t="shared" si="20"/>
        <v>1100</v>
      </c>
      <c r="O21" s="105">
        <v>50</v>
      </c>
      <c r="P21" s="29">
        <f t="shared" si="21"/>
        <v>39</v>
      </c>
      <c r="Q21" s="30">
        <f t="shared" si="22"/>
        <v>1950</v>
      </c>
      <c r="R21" s="31">
        <f t="shared" si="23"/>
        <v>100</v>
      </c>
      <c r="S21" s="32">
        <f t="shared" si="24"/>
        <v>5550</v>
      </c>
      <c r="T21" s="33" t="str">
        <f t="shared" si="25"/>
        <v/>
      </c>
    </row>
    <row r="22" spans="2:20" s="107" customFormat="1" x14ac:dyDescent="0.3">
      <c r="B22" s="102" t="s">
        <v>319</v>
      </c>
      <c r="C22" s="104" t="s">
        <v>12</v>
      </c>
      <c r="D22" s="112" t="str">
        <f t="shared" si="13"/>
        <v>Zavičajni muzej u Tutinu</v>
      </c>
      <c r="E22" s="112" t="str">
        <f t="shared" si="14"/>
        <v>Serbia</v>
      </c>
      <c r="F22" s="105">
        <v>20</v>
      </c>
      <c r="G22" s="29">
        <f t="shared" si="15"/>
        <v>88</v>
      </c>
      <c r="H22" s="30">
        <f t="shared" si="16"/>
        <v>1760</v>
      </c>
      <c r="I22" s="105">
        <v>20</v>
      </c>
      <c r="J22" s="29">
        <f t="shared" si="17"/>
        <v>74</v>
      </c>
      <c r="K22" s="30">
        <f t="shared" si="18"/>
        <v>1480</v>
      </c>
      <c r="L22" s="105">
        <v>10</v>
      </c>
      <c r="M22" s="29">
        <f t="shared" si="19"/>
        <v>55</v>
      </c>
      <c r="N22" s="30">
        <f t="shared" si="20"/>
        <v>550</v>
      </c>
      <c r="O22" s="105">
        <v>50</v>
      </c>
      <c r="P22" s="29">
        <f t="shared" si="21"/>
        <v>39</v>
      </c>
      <c r="Q22" s="30">
        <f t="shared" si="22"/>
        <v>1950</v>
      </c>
      <c r="R22" s="31">
        <f t="shared" si="23"/>
        <v>100</v>
      </c>
      <c r="S22" s="32">
        <f t="shared" si="24"/>
        <v>5740</v>
      </c>
      <c r="T22" s="106" t="str">
        <f t="shared" si="25"/>
        <v/>
      </c>
    </row>
    <row r="23" spans="2:20" s="107" customFormat="1" x14ac:dyDescent="0.3">
      <c r="B23" s="102" t="s">
        <v>319</v>
      </c>
      <c r="C23" s="104" t="s">
        <v>13</v>
      </c>
      <c r="D23" s="112" t="str">
        <f t="shared" si="13"/>
        <v>Zavičajni muzej Prijepolje</v>
      </c>
      <c r="E23" s="112" t="str">
        <f t="shared" si="14"/>
        <v>Serbia</v>
      </c>
      <c r="F23" s="105">
        <v>20</v>
      </c>
      <c r="G23" s="29">
        <f t="shared" si="15"/>
        <v>88</v>
      </c>
      <c r="H23" s="30">
        <f t="shared" si="16"/>
        <v>1760</v>
      </c>
      <c r="I23" s="105">
        <v>40</v>
      </c>
      <c r="J23" s="29">
        <f t="shared" si="17"/>
        <v>74</v>
      </c>
      <c r="K23" s="30">
        <f t="shared" si="18"/>
        <v>2960</v>
      </c>
      <c r="L23" s="105">
        <v>20</v>
      </c>
      <c r="M23" s="29">
        <f t="shared" si="19"/>
        <v>55</v>
      </c>
      <c r="N23" s="30">
        <f t="shared" si="20"/>
        <v>1100</v>
      </c>
      <c r="O23" s="105">
        <v>40</v>
      </c>
      <c r="P23" s="29">
        <f t="shared" si="21"/>
        <v>39</v>
      </c>
      <c r="Q23" s="30">
        <f t="shared" si="22"/>
        <v>1560</v>
      </c>
      <c r="R23" s="31">
        <f t="shared" si="23"/>
        <v>120</v>
      </c>
      <c r="S23" s="32">
        <f t="shared" si="24"/>
        <v>7380</v>
      </c>
      <c r="T23" s="106" t="str">
        <f t="shared" si="25"/>
        <v/>
      </c>
    </row>
    <row r="24" spans="2:20" s="107" customFormat="1" x14ac:dyDescent="0.3">
      <c r="B24" s="102" t="s">
        <v>319</v>
      </c>
      <c r="C24" s="104" t="s">
        <v>17</v>
      </c>
      <c r="D24" s="112" t="str">
        <f t="shared" si="13"/>
        <v>Národní muzeum</v>
      </c>
      <c r="E24" s="112" t="str">
        <f t="shared" si="14"/>
        <v>Czech Republic</v>
      </c>
      <c r="F24" s="105">
        <v>40</v>
      </c>
      <c r="G24" s="29">
        <f t="shared" si="15"/>
        <v>164</v>
      </c>
      <c r="H24" s="30">
        <f t="shared" si="16"/>
        <v>6560</v>
      </c>
      <c r="I24" s="105">
        <v>40</v>
      </c>
      <c r="J24" s="29">
        <f t="shared" si="17"/>
        <v>137</v>
      </c>
      <c r="K24" s="30">
        <f t="shared" si="18"/>
        <v>5480</v>
      </c>
      <c r="L24" s="105">
        <v>70</v>
      </c>
      <c r="M24" s="29">
        <f t="shared" si="19"/>
        <v>102</v>
      </c>
      <c r="N24" s="30">
        <f t="shared" si="20"/>
        <v>7140</v>
      </c>
      <c r="O24" s="105">
        <v>40</v>
      </c>
      <c r="P24" s="29">
        <f t="shared" si="21"/>
        <v>78</v>
      </c>
      <c r="Q24" s="30">
        <f t="shared" si="22"/>
        <v>3120</v>
      </c>
      <c r="R24" s="31">
        <f t="shared" si="23"/>
        <v>190</v>
      </c>
      <c r="S24" s="32">
        <f t="shared" si="24"/>
        <v>22300</v>
      </c>
      <c r="T24" s="106" t="str">
        <f t="shared" si="25"/>
        <v/>
      </c>
    </row>
    <row r="25" spans="2:20" s="107" customFormat="1" x14ac:dyDescent="0.3">
      <c r="B25" s="102" t="s">
        <v>319</v>
      </c>
      <c r="C25" s="104" t="s">
        <v>156</v>
      </c>
      <c r="D25" s="112" t="str">
        <f t="shared" si="13"/>
        <v>Österreichische Galerie Belvedere</v>
      </c>
      <c r="E25" s="112" t="str">
        <f t="shared" si="14"/>
        <v>Austria</v>
      </c>
      <c r="F25" s="105">
        <v>30</v>
      </c>
      <c r="G25" s="29">
        <f t="shared" si="15"/>
        <v>294</v>
      </c>
      <c r="H25" s="30">
        <f t="shared" si="16"/>
        <v>8820</v>
      </c>
      <c r="I25" s="105">
        <v>30</v>
      </c>
      <c r="J25" s="29">
        <f t="shared" si="17"/>
        <v>241</v>
      </c>
      <c r="K25" s="30">
        <f t="shared" si="18"/>
        <v>7230</v>
      </c>
      <c r="L25" s="105">
        <v>30</v>
      </c>
      <c r="M25" s="29">
        <f t="shared" si="19"/>
        <v>190</v>
      </c>
      <c r="N25" s="30">
        <f t="shared" si="20"/>
        <v>5700</v>
      </c>
      <c r="O25" s="105">
        <v>30</v>
      </c>
      <c r="P25" s="29">
        <f t="shared" si="21"/>
        <v>157</v>
      </c>
      <c r="Q25" s="30">
        <f t="shared" si="22"/>
        <v>4710</v>
      </c>
      <c r="R25" s="31">
        <f t="shared" si="23"/>
        <v>120</v>
      </c>
      <c r="S25" s="32">
        <f t="shared" si="24"/>
        <v>26460</v>
      </c>
      <c r="T25" s="106" t="str">
        <f t="shared" si="25"/>
        <v/>
      </c>
    </row>
    <row r="26" spans="2:20" s="107" customFormat="1" x14ac:dyDescent="0.3">
      <c r="B26" s="102" t="s">
        <v>319</v>
      </c>
      <c r="C26" s="104" t="s">
        <v>22</v>
      </c>
      <c r="D26" s="112" t="str">
        <f t="shared" si="13"/>
        <v xml:space="preserve">UNESCO </v>
      </c>
      <c r="E26" s="112" t="str">
        <f t="shared" si="14"/>
        <v>United Kingdom</v>
      </c>
      <c r="F26" s="105">
        <v>40</v>
      </c>
      <c r="G26" s="29">
        <f t="shared" si="15"/>
        <v>280</v>
      </c>
      <c r="H26" s="30">
        <f t="shared" si="16"/>
        <v>11200</v>
      </c>
      <c r="I26" s="105">
        <v>20</v>
      </c>
      <c r="J26" s="29">
        <f t="shared" si="17"/>
        <v>214</v>
      </c>
      <c r="K26" s="30">
        <f t="shared" si="18"/>
        <v>4280</v>
      </c>
      <c r="L26" s="105">
        <v>20</v>
      </c>
      <c r="M26" s="29">
        <f t="shared" si="19"/>
        <v>162</v>
      </c>
      <c r="N26" s="30">
        <f t="shared" si="20"/>
        <v>3240</v>
      </c>
      <c r="O26" s="105">
        <v>20</v>
      </c>
      <c r="P26" s="29">
        <f t="shared" si="21"/>
        <v>131</v>
      </c>
      <c r="Q26" s="30">
        <f t="shared" si="22"/>
        <v>2620</v>
      </c>
      <c r="R26" s="31">
        <f t="shared" si="23"/>
        <v>100</v>
      </c>
      <c r="S26" s="32">
        <f t="shared" si="24"/>
        <v>21340</v>
      </c>
      <c r="T26" s="106" t="str">
        <f t="shared" si="25"/>
        <v/>
      </c>
    </row>
    <row r="27" spans="2:20" s="107" customFormat="1" x14ac:dyDescent="0.3">
      <c r="B27" s="102" t="s">
        <v>174</v>
      </c>
      <c r="C27" s="104" t="s">
        <v>14</v>
      </c>
      <c r="D27" s="112" t="str">
        <f t="shared" si="13"/>
        <v>Muzej Staro Selo</v>
      </c>
      <c r="E27" s="112" t="str">
        <f t="shared" si="14"/>
        <v>Serbia</v>
      </c>
      <c r="F27" s="105">
        <v>20</v>
      </c>
      <c r="G27" s="29">
        <f t="shared" si="15"/>
        <v>88</v>
      </c>
      <c r="H27" s="30">
        <f t="shared" si="16"/>
        <v>1760</v>
      </c>
      <c r="I27" s="105">
        <v>20</v>
      </c>
      <c r="J27" s="29">
        <f t="shared" si="17"/>
        <v>74</v>
      </c>
      <c r="K27" s="30">
        <f t="shared" si="18"/>
        <v>1480</v>
      </c>
      <c r="L27" s="105">
        <v>20</v>
      </c>
      <c r="M27" s="29">
        <f t="shared" si="19"/>
        <v>55</v>
      </c>
      <c r="N27" s="30">
        <f t="shared" si="20"/>
        <v>1100</v>
      </c>
      <c r="O27" s="105">
        <v>40</v>
      </c>
      <c r="P27" s="29">
        <f t="shared" si="21"/>
        <v>39</v>
      </c>
      <c r="Q27" s="30">
        <f t="shared" si="22"/>
        <v>1560</v>
      </c>
      <c r="R27" s="31">
        <f t="shared" si="23"/>
        <v>100</v>
      </c>
      <c r="S27" s="32">
        <f t="shared" si="24"/>
        <v>5900</v>
      </c>
      <c r="T27" s="106" t="str">
        <f t="shared" si="25"/>
        <v/>
      </c>
    </row>
    <row r="28" spans="2:20" s="107" customFormat="1" x14ac:dyDescent="0.3">
      <c r="B28" s="102" t="s">
        <v>174</v>
      </c>
      <c r="C28" s="104" t="s">
        <v>15</v>
      </c>
      <c r="D28" s="112" t="str">
        <f t="shared" si="13"/>
        <v>British Museum</v>
      </c>
      <c r="E28" s="112" t="str">
        <f t="shared" si="14"/>
        <v>United Kingdom</v>
      </c>
      <c r="F28" s="105">
        <v>20</v>
      </c>
      <c r="G28" s="29">
        <f t="shared" si="15"/>
        <v>280</v>
      </c>
      <c r="H28" s="30">
        <f t="shared" si="16"/>
        <v>5600</v>
      </c>
      <c r="I28" s="105">
        <v>10</v>
      </c>
      <c r="J28" s="29">
        <f t="shared" si="17"/>
        <v>214</v>
      </c>
      <c r="K28" s="30">
        <f t="shared" si="18"/>
        <v>2140</v>
      </c>
      <c r="L28" s="105">
        <v>10</v>
      </c>
      <c r="M28" s="29">
        <f t="shared" si="19"/>
        <v>162</v>
      </c>
      <c r="N28" s="30">
        <f t="shared" si="20"/>
        <v>1620</v>
      </c>
      <c r="O28" s="105">
        <v>40</v>
      </c>
      <c r="P28" s="29">
        <f t="shared" si="21"/>
        <v>131</v>
      </c>
      <c r="Q28" s="30">
        <f t="shared" si="22"/>
        <v>5240</v>
      </c>
      <c r="R28" s="31">
        <f t="shared" si="23"/>
        <v>80</v>
      </c>
      <c r="S28" s="32">
        <f t="shared" si="24"/>
        <v>14600</v>
      </c>
      <c r="T28" s="106" t="str">
        <f t="shared" si="25"/>
        <v/>
      </c>
    </row>
    <row r="29" spans="2:20" s="107" customFormat="1" x14ac:dyDescent="0.3">
      <c r="B29" s="102" t="s">
        <v>174</v>
      </c>
      <c r="C29" s="104" t="s">
        <v>18</v>
      </c>
      <c r="D29" s="112" t="str">
        <f t="shared" si="13"/>
        <v>Narodni muzej Slovenije</v>
      </c>
      <c r="E29" s="112" t="str">
        <f t="shared" si="14"/>
        <v>Slovenia</v>
      </c>
      <c r="F29" s="105">
        <v>40</v>
      </c>
      <c r="G29" s="29">
        <f t="shared" si="15"/>
        <v>164</v>
      </c>
      <c r="H29" s="30">
        <f t="shared" si="16"/>
        <v>6560</v>
      </c>
      <c r="I29" s="105">
        <v>10</v>
      </c>
      <c r="J29" s="29">
        <f t="shared" si="17"/>
        <v>137</v>
      </c>
      <c r="K29" s="30">
        <f t="shared" si="18"/>
        <v>1370</v>
      </c>
      <c r="L29" s="105">
        <v>40</v>
      </c>
      <c r="M29" s="29">
        <f t="shared" si="19"/>
        <v>102</v>
      </c>
      <c r="N29" s="30">
        <f t="shared" si="20"/>
        <v>4080</v>
      </c>
      <c r="O29" s="105">
        <v>50</v>
      </c>
      <c r="P29" s="29">
        <f t="shared" si="21"/>
        <v>78</v>
      </c>
      <c r="Q29" s="30">
        <f t="shared" si="22"/>
        <v>3900</v>
      </c>
      <c r="R29" s="31">
        <f t="shared" si="23"/>
        <v>140</v>
      </c>
      <c r="S29" s="32">
        <f t="shared" si="24"/>
        <v>15910</v>
      </c>
      <c r="T29" s="106" t="str">
        <f t="shared" si="25"/>
        <v/>
      </c>
    </row>
    <row r="30" spans="2:20" s="107" customFormat="1" x14ac:dyDescent="0.3">
      <c r="B30" s="102" t="s">
        <v>174</v>
      </c>
      <c r="C30" s="104" t="s">
        <v>20</v>
      </c>
      <c r="D30" s="112" t="str">
        <f t="shared" si="13"/>
        <v>PwC (PricewaterhouseCoopers)</v>
      </c>
      <c r="E30" s="112" t="str">
        <f t="shared" si="14"/>
        <v>United Kingdom</v>
      </c>
      <c r="F30" s="105">
        <v>20</v>
      </c>
      <c r="G30" s="29">
        <f t="shared" si="15"/>
        <v>280</v>
      </c>
      <c r="H30" s="30">
        <f t="shared" si="16"/>
        <v>5600</v>
      </c>
      <c r="I30" s="105">
        <v>50</v>
      </c>
      <c r="J30" s="29">
        <f t="shared" si="17"/>
        <v>214</v>
      </c>
      <c r="K30" s="30">
        <f t="shared" si="18"/>
        <v>10700</v>
      </c>
      <c r="L30" s="105">
        <v>50</v>
      </c>
      <c r="M30" s="29">
        <f t="shared" si="19"/>
        <v>162</v>
      </c>
      <c r="N30" s="30">
        <f t="shared" si="20"/>
        <v>8100</v>
      </c>
      <c r="O30" s="105">
        <v>50</v>
      </c>
      <c r="P30" s="29">
        <f t="shared" si="21"/>
        <v>131</v>
      </c>
      <c r="Q30" s="30">
        <f t="shared" si="22"/>
        <v>6550</v>
      </c>
      <c r="R30" s="31">
        <f t="shared" si="23"/>
        <v>170</v>
      </c>
      <c r="S30" s="32">
        <f t="shared" si="24"/>
        <v>30950</v>
      </c>
      <c r="T30" s="106" t="str">
        <f t="shared" si="25"/>
        <v/>
      </c>
    </row>
    <row r="31" spans="2:20" s="107" customFormat="1" x14ac:dyDescent="0.3">
      <c r="B31" s="102" t="s">
        <v>174</v>
      </c>
      <c r="C31" s="104" t="s">
        <v>21</v>
      </c>
      <c r="D31" s="112" t="str">
        <f t="shared" si="13"/>
        <v>Accenture</v>
      </c>
      <c r="E31" s="112" t="str">
        <f t="shared" si="14"/>
        <v>Ireland</v>
      </c>
      <c r="F31" s="105">
        <v>40</v>
      </c>
      <c r="G31" s="29">
        <f t="shared" si="15"/>
        <v>294</v>
      </c>
      <c r="H31" s="30">
        <f t="shared" si="16"/>
        <v>11760</v>
      </c>
      <c r="I31" s="105">
        <v>40</v>
      </c>
      <c r="J31" s="29">
        <f t="shared" si="17"/>
        <v>241</v>
      </c>
      <c r="K31" s="30">
        <f t="shared" si="18"/>
        <v>9640</v>
      </c>
      <c r="L31" s="105">
        <v>40</v>
      </c>
      <c r="M31" s="29">
        <f t="shared" si="19"/>
        <v>190</v>
      </c>
      <c r="N31" s="30">
        <f t="shared" si="20"/>
        <v>7600</v>
      </c>
      <c r="O31" s="105">
        <v>40</v>
      </c>
      <c r="P31" s="29">
        <f t="shared" si="21"/>
        <v>157</v>
      </c>
      <c r="Q31" s="30">
        <f t="shared" si="22"/>
        <v>6280</v>
      </c>
      <c r="R31" s="31">
        <f t="shared" si="23"/>
        <v>160</v>
      </c>
      <c r="S31" s="32">
        <f t="shared" si="24"/>
        <v>35280</v>
      </c>
      <c r="T31" s="106" t="str">
        <f t="shared" si="25"/>
        <v/>
      </c>
    </row>
    <row r="32" spans="2:20" s="107" customFormat="1" x14ac:dyDescent="0.3">
      <c r="B32" s="102" t="s">
        <v>174</v>
      </c>
      <c r="C32" s="104" t="s">
        <v>26</v>
      </c>
      <c r="D32" s="112" t="str">
        <f t="shared" si="13"/>
        <v>European Travel Commission</v>
      </c>
      <c r="E32" s="112" t="str">
        <f t="shared" si="14"/>
        <v>Belgium</v>
      </c>
      <c r="F32" s="105">
        <v>20</v>
      </c>
      <c r="G32" s="29">
        <f t="shared" si="15"/>
        <v>280</v>
      </c>
      <c r="H32" s="30">
        <f t="shared" si="16"/>
        <v>5600</v>
      </c>
      <c r="I32" s="105">
        <v>20</v>
      </c>
      <c r="J32" s="29">
        <f t="shared" si="17"/>
        <v>214</v>
      </c>
      <c r="K32" s="30">
        <f t="shared" si="18"/>
        <v>4280</v>
      </c>
      <c r="L32" s="105">
        <v>20</v>
      </c>
      <c r="M32" s="29">
        <f t="shared" si="19"/>
        <v>162</v>
      </c>
      <c r="N32" s="30">
        <f t="shared" si="20"/>
        <v>3240</v>
      </c>
      <c r="O32" s="105">
        <v>20</v>
      </c>
      <c r="P32" s="29">
        <f t="shared" si="21"/>
        <v>131</v>
      </c>
      <c r="Q32" s="30">
        <f t="shared" si="22"/>
        <v>2620</v>
      </c>
      <c r="R32" s="31">
        <f t="shared" si="23"/>
        <v>80</v>
      </c>
      <c r="S32" s="32">
        <f t="shared" si="24"/>
        <v>15740</v>
      </c>
      <c r="T32" s="106" t="str">
        <f t="shared" si="25"/>
        <v/>
      </c>
    </row>
    <row r="33" spans="2:20" s="107" customFormat="1" x14ac:dyDescent="0.3">
      <c r="B33" s="102" t="s">
        <v>318</v>
      </c>
      <c r="C33" s="104" t="s">
        <v>23</v>
      </c>
      <c r="D33" s="112" t="str">
        <f t="shared" si="13"/>
        <v>Louvre Museum</v>
      </c>
      <c r="E33" s="112" t="str">
        <f t="shared" si="14"/>
        <v>France</v>
      </c>
      <c r="F33" s="105">
        <v>10</v>
      </c>
      <c r="G33" s="29">
        <f t="shared" si="15"/>
        <v>280</v>
      </c>
      <c r="H33" s="30">
        <f t="shared" si="16"/>
        <v>2800</v>
      </c>
      <c r="I33" s="105">
        <v>5</v>
      </c>
      <c r="J33" s="29">
        <f t="shared" si="17"/>
        <v>214</v>
      </c>
      <c r="K33" s="30">
        <f t="shared" si="18"/>
        <v>1070</v>
      </c>
      <c r="L33" s="105">
        <v>5</v>
      </c>
      <c r="M33" s="29">
        <f t="shared" si="19"/>
        <v>162</v>
      </c>
      <c r="N33" s="30">
        <f t="shared" si="20"/>
        <v>810</v>
      </c>
      <c r="O33" s="105">
        <v>10</v>
      </c>
      <c r="P33" s="29">
        <f t="shared" si="21"/>
        <v>131</v>
      </c>
      <c r="Q33" s="30">
        <f t="shared" si="22"/>
        <v>1310</v>
      </c>
      <c r="R33" s="31">
        <f t="shared" si="23"/>
        <v>30</v>
      </c>
      <c r="S33" s="32">
        <f t="shared" si="24"/>
        <v>5990</v>
      </c>
      <c r="T33" s="106" t="str">
        <f t="shared" si="25"/>
        <v/>
      </c>
    </row>
    <row r="34" spans="2:20" s="107" customFormat="1" x14ac:dyDescent="0.3">
      <c r="B34" s="102" t="s">
        <v>319</v>
      </c>
      <c r="C34" s="104" t="s">
        <v>109</v>
      </c>
      <c r="D34" s="112" t="str">
        <f t="shared" si="13"/>
        <v>KakoGod Team</v>
      </c>
      <c r="E34" s="112" t="str">
        <f t="shared" si="14"/>
        <v>Bosnia and Herzegovina</v>
      </c>
      <c r="F34" s="105">
        <v>20</v>
      </c>
      <c r="G34" s="29">
        <f t="shared" si="15"/>
        <v>108</v>
      </c>
      <c r="H34" s="30">
        <f t="shared" si="16"/>
        <v>2160</v>
      </c>
      <c r="I34" s="105">
        <v>30</v>
      </c>
      <c r="J34" s="29">
        <f t="shared" si="17"/>
        <v>80</v>
      </c>
      <c r="K34" s="30">
        <f t="shared" si="18"/>
        <v>2400</v>
      </c>
      <c r="L34" s="105">
        <v>20</v>
      </c>
      <c r="M34" s="29">
        <f t="shared" si="19"/>
        <v>57</v>
      </c>
      <c r="N34" s="30">
        <f t="shared" si="20"/>
        <v>1140</v>
      </c>
      <c r="O34" s="105">
        <v>20</v>
      </c>
      <c r="P34" s="29">
        <f t="shared" si="21"/>
        <v>45</v>
      </c>
      <c r="Q34" s="30">
        <f t="shared" si="22"/>
        <v>900</v>
      </c>
      <c r="R34" s="31">
        <f t="shared" si="23"/>
        <v>90</v>
      </c>
      <c r="S34" s="32">
        <f t="shared" si="24"/>
        <v>6600</v>
      </c>
      <c r="T34" s="106" t="str">
        <f t="shared" si="25"/>
        <v/>
      </c>
    </row>
  </sheetData>
  <sheetProtection algorithmName="SHA-512" hashValue="732vtL4++vYBj9HvHjsPJxd/NrIZLAUqcEzMvRXfNJMnsFPyW1gESUoP6RKfOEEMvADkIwP17qHzYJenO4oqSg==" saltValue="drXaKkHNJYhxMAvj/ENEgw==" spinCount="10000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34">
    <cfRule type="containsText" dxfId="400" priority="971" operator="containsText" text="Error">
      <formula>NOT(ISERROR(SEARCH("Error",T13)))</formula>
    </cfRule>
  </conditionalFormatting>
  <conditionalFormatting sqref="D13:E34">
    <cfRule type="containsBlanks" dxfId="399" priority="967">
      <formula>LEN(TRIM(D13))=0</formula>
    </cfRule>
  </conditionalFormatting>
  <conditionalFormatting sqref="F14 I14 L14 O14">
    <cfRule type="expression" dxfId="398" priority="338">
      <formula>ISNUMBER(F14)=FALSE</formula>
    </cfRule>
  </conditionalFormatting>
  <conditionalFormatting sqref="F13 I13 L13 O13">
    <cfRule type="expression" dxfId="397" priority="337">
      <formula>ISNUMBER(F13)=FALSE</formula>
    </cfRule>
  </conditionalFormatting>
  <conditionalFormatting sqref="B13:C13">
    <cfRule type="containsBlanks" dxfId="396" priority="330">
      <formula>LEN(TRIM(B13))=0</formula>
    </cfRule>
  </conditionalFormatting>
  <conditionalFormatting sqref="B14:C14">
    <cfRule type="containsBlanks" dxfId="395" priority="329">
      <formula>LEN(TRIM(B14))=0</formula>
    </cfRule>
  </conditionalFormatting>
  <conditionalFormatting sqref="F15 I15 L15 O15">
    <cfRule type="expression" dxfId="394" priority="44">
      <formula>ISNUMBER(F15)=FALSE</formula>
    </cfRule>
  </conditionalFormatting>
  <conditionalFormatting sqref="B15:C15">
    <cfRule type="containsBlanks" dxfId="393" priority="43">
      <formula>LEN(TRIM(B15))=0</formula>
    </cfRule>
  </conditionalFormatting>
  <conditionalFormatting sqref="F16 I16 L16 O16">
    <cfRule type="expression" dxfId="392" priority="42">
      <formula>ISNUMBER(F16)=FALSE</formula>
    </cfRule>
  </conditionalFormatting>
  <conditionalFormatting sqref="B16:C16">
    <cfRule type="containsBlanks" dxfId="391" priority="41">
      <formula>LEN(TRIM(B16))=0</formula>
    </cfRule>
  </conditionalFormatting>
  <conditionalFormatting sqref="F17 I17 L17 O17">
    <cfRule type="expression" dxfId="390" priority="40">
      <formula>ISNUMBER(F17)=FALSE</formula>
    </cfRule>
  </conditionalFormatting>
  <conditionalFormatting sqref="B17:C17">
    <cfRule type="containsBlanks" dxfId="389" priority="39">
      <formula>LEN(TRIM(B17))=0</formula>
    </cfRule>
  </conditionalFormatting>
  <conditionalFormatting sqref="F18 I18 L18 O18">
    <cfRule type="expression" dxfId="388" priority="38">
      <formula>ISNUMBER(F18)=FALSE</formula>
    </cfRule>
  </conditionalFormatting>
  <conditionalFormatting sqref="B18:C18">
    <cfRule type="containsBlanks" dxfId="387" priority="37">
      <formula>LEN(TRIM(B18))=0</formula>
    </cfRule>
  </conditionalFormatting>
  <conditionalFormatting sqref="F19 I19 L19 O19">
    <cfRule type="expression" dxfId="386" priority="36">
      <formula>ISNUMBER(F19)=FALSE</formula>
    </cfRule>
  </conditionalFormatting>
  <conditionalFormatting sqref="B19:C19">
    <cfRule type="containsBlanks" dxfId="385" priority="35">
      <formula>LEN(TRIM(B19))=0</formula>
    </cfRule>
  </conditionalFormatting>
  <conditionalFormatting sqref="F20 I20 L20 O20">
    <cfRule type="expression" dxfId="384" priority="34">
      <formula>ISNUMBER(F20)=FALSE</formula>
    </cfRule>
  </conditionalFormatting>
  <conditionalFormatting sqref="B20:C20">
    <cfRule type="containsBlanks" dxfId="383" priority="33">
      <formula>LEN(TRIM(B20))=0</formula>
    </cfRule>
  </conditionalFormatting>
  <conditionalFormatting sqref="F21 I21 L21 O21">
    <cfRule type="expression" dxfId="382" priority="32">
      <formula>ISNUMBER(F21)=FALSE</formula>
    </cfRule>
  </conditionalFormatting>
  <conditionalFormatting sqref="B21:C21">
    <cfRule type="containsBlanks" dxfId="381" priority="31">
      <formula>LEN(TRIM(B21))=0</formula>
    </cfRule>
  </conditionalFormatting>
  <conditionalFormatting sqref="F22 I22 L22 O22">
    <cfRule type="expression" dxfId="380" priority="30">
      <formula>ISNUMBER(F22)=FALSE</formula>
    </cfRule>
  </conditionalFormatting>
  <conditionalFormatting sqref="B22:C22">
    <cfRule type="containsBlanks" dxfId="379" priority="29">
      <formula>LEN(TRIM(B22))=0</formula>
    </cfRule>
  </conditionalFormatting>
  <conditionalFormatting sqref="F23 I23 L23 O23">
    <cfRule type="expression" dxfId="378" priority="28">
      <formula>ISNUMBER(F23)=FALSE</formula>
    </cfRule>
  </conditionalFormatting>
  <conditionalFormatting sqref="B23:C23">
    <cfRule type="containsBlanks" dxfId="377" priority="27">
      <formula>LEN(TRIM(B23))=0</formula>
    </cfRule>
  </conditionalFormatting>
  <conditionalFormatting sqref="F24 I24 L24 O24">
    <cfRule type="expression" dxfId="376" priority="26">
      <formula>ISNUMBER(F24)=FALSE</formula>
    </cfRule>
  </conditionalFormatting>
  <conditionalFormatting sqref="B24:C24">
    <cfRule type="containsBlanks" dxfId="375" priority="25">
      <formula>LEN(TRIM(B24))=0</formula>
    </cfRule>
  </conditionalFormatting>
  <conditionalFormatting sqref="F25 I25 L25 O25">
    <cfRule type="expression" dxfId="374" priority="24">
      <formula>ISNUMBER(F25)=FALSE</formula>
    </cfRule>
  </conditionalFormatting>
  <conditionalFormatting sqref="B25:C25">
    <cfRule type="containsBlanks" dxfId="373" priority="23">
      <formula>LEN(TRIM(B25))=0</formula>
    </cfRule>
  </conditionalFormatting>
  <conditionalFormatting sqref="F26 I26 L26 O26">
    <cfRule type="expression" dxfId="372" priority="22">
      <formula>ISNUMBER(F26)=FALSE</formula>
    </cfRule>
  </conditionalFormatting>
  <conditionalFormatting sqref="B26:C26">
    <cfRule type="containsBlanks" dxfId="371" priority="21">
      <formula>LEN(TRIM(B26))=0</formula>
    </cfRule>
  </conditionalFormatting>
  <conditionalFormatting sqref="F27 I27 L27 O27">
    <cfRule type="expression" dxfId="370" priority="20">
      <formula>ISNUMBER(F27)=FALSE</formula>
    </cfRule>
  </conditionalFormatting>
  <conditionalFormatting sqref="B27:C27">
    <cfRule type="containsBlanks" dxfId="369" priority="19">
      <formula>LEN(TRIM(B27))=0</formula>
    </cfRule>
  </conditionalFormatting>
  <conditionalFormatting sqref="F28 I28 L28 O28">
    <cfRule type="expression" dxfId="368" priority="18">
      <formula>ISNUMBER(F28)=FALSE</formula>
    </cfRule>
  </conditionalFormatting>
  <conditionalFormatting sqref="B28:C28">
    <cfRule type="containsBlanks" dxfId="367" priority="17">
      <formula>LEN(TRIM(B28))=0</formula>
    </cfRule>
  </conditionalFormatting>
  <conditionalFormatting sqref="F29 I29 L29 O29">
    <cfRule type="expression" dxfId="366" priority="16">
      <formula>ISNUMBER(F29)=FALSE</formula>
    </cfRule>
  </conditionalFormatting>
  <conditionalFormatting sqref="B29:C29">
    <cfRule type="containsBlanks" dxfId="365" priority="15">
      <formula>LEN(TRIM(B29))=0</formula>
    </cfRule>
  </conditionalFormatting>
  <conditionalFormatting sqref="F30 I30 L30 O30">
    <cfRule type="expression" dxfId="364" priority="14">
      <formula>ISNUMBER(F30)=FALSE</formula>
    </cfRule>
  </conditionalFormatting>
  <conditionalFormatting sqref="B30:C30">
    <cfRule type="containsBlanks" dxfId="363" priority="13">
      <formula>LEN(TRIM(B30))=0</formula>
    </cfRule>
  </conditionalFormatting>
  <conditionalFormatting sqref="F31 I31 L31 O31">
    <cfRule type="expression" dxfId="362" priority="12">
      <formula>ISNUMBER(F31)=FALSE</formula>
    </cfRule>
  </conditionalFormatting>
  <conditionalFormatting sqref="B31:C31">
    <cfRule type="containsBlanks" dxfId="361" priority="11">
      <formula>LEN(TRIM(B31))=0</formula>
    </cfRule>
  </conditionalFormatting>
  <conditionalFormatting sqref="F32 I32 L32 O32">
    <cfRule type="expression" dxfId="360" priority="10">
      <formula>ISNUMBER(F32)=FALSE</formula>
    </cfRule>
  </conditionalFormatting>
  <conditionalFormatting sqref="B32:C32">
    <cfRule type="containsBlanks" dxfId="359" priority="9">
      <formula>LEN(TRIM(B32))=0</formula>
    </cfRule>
  </conditionalFormatting>
  <conditionalFormatting sqref="F33 I33 L33 O33">
    <cfRule type="expression" dxfId="354" priority="4">
      <formula>ISNUMBER(F33)=FALSE</formula>
    </cfRule>
  </conditionalFormatting>
  <conditionalFormatting sqref="B33:C33">
    <cfRule type="containsBlanks" dxfId="353" priority="3">
      <formula>LEN(TRIM(B33))=0</formula>
    </cfRule>
  </conditionalFormatting>
  <conditionalFormatting sqref="F34 I34 L34 O34">
    <cfRule type="expression" dxfId="1" priority="2">
      <formula>ISNUMBER(F34)=FALSE</formula>
    </cfRule>
  </conditionalFormatting>
  <conditionalFormatting sqref="B34:C34">
    <cfRule type="containsBlanks" dxfId="0" priority="1">
      <formula>LEN(TRIM(B34))=0</formula>
    </cfRule>
  </conditionalFormatting>
  <dataValidations count="4">
    <dataValidation allowBlank="1" showInputMessage="1" errorTitle="Warning: Max Ceilings exceeded" error="Please be aware that this exceed the &quot;Ceilings&quot; for the maximum amounts for staff cost by country" sqref="P13:P34 G13:G34 M13:M34 J13:J34" xr:uid="{00000000-0002-0000-0200-000000000000}"/>
    <dataValidation type="custom" allowBlank="1" showInputMessage="1" showErrorMessage="1" error="Format error (1 decimal only)" prompt="Please encode number of days - 1 decimal only" sqref="O13:O34 L13:L34 F13:F34 I13:I34" xr:uid="{00000000-0002-0000-0200-000001000000}">
      <formula1>F13=INT(F13*10)/10</formula1>
    </dataValidation>
    <dataValidation type="list" allowBlank="1" showInputMessage="1" showErrorMessage="1" error="Click arrow to select Work Package" prompt="Click arrow to select Work Package" sqref="B13:B34" xr:uid="{00000000-0002-0000-0200-000002000000}">
      <formula1>WorkPackage</formula1>
    </dataValidation>
    <dataValidation type="list" allowBlank="1" showInputMessage="1" showErrorMessage="1" error="Click arrow to select Partner N°" prompt="Click arrow to select Partner N°" sqref="C13:C34"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40"/>
  <sheetViews>
    <sheetView showGridLines="0" topLeftCell="C1" zoomScale="70" zoomScaleNormal="70" zoomScaleSheetLayoutView="55" workbookViewId="0">
      <pane ySplit="13" topLeftCell="A21" activePane="bottomLeft" state="frozen"/>
      <selection pane="bottomLeft" activeCell="J35" sqref="J3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68" t="s">
        <v>183</v>
      </c>
      <c r="C2" s="168"/>
      <c r="D2" s="168"/>
      <c r="E2" s="168"/>
      <c r="F2" s="168"/>
      <c r="G2" s="168"/>
      <c r="H2" s="168"/>
      <c r="I2" s="168"/>
      <c r="J2" s="168"/>
      <c r="K2" s="168"/>
      <c r="L2" s="168"/>
      <c r="M2" s="168"/>
      <c r="N2" s="168"/>
      <c r="O2" s="168"/>
      <c r="P2" s="168"/>
      <c r="Q2" s="168"/>
      <c r="R2" s="168"/>
    </row>
    <row r="3" spans="2:18" s="20" customFormat="1" ht="8.1" customHeight="1" x14ac:dyDescent="0.35">
      <c r="B3" s="158"/>
      <c r="C3" s="159"/>
      <c r="D3" s="159"/>
      <c r="E3" s="159"/>
      <c r="F3" s="159"/>
      <c r="G3" s="159"/>
      <c r="H3" s="159"/>
      <c r="I3" s="159"/>
      <c r="J3" s="159"/>
      <c r="K3" s="159"/>
      <c r="L3" s="159"/>
      <c r="M3" s="159"/>
      <c r="N3" s="159"/>
      <c r="O3" s="159"/>
      <c r="P3" s="159"/>
      <c r="Q3" s="159"/>
      <c r="R3" s="160"/>
    </row>
    <row r="4" spans="2:18" s="20" customFormat="1" ht="20.100000000000001" customHeight="1" x14ac:dyDescent="0.35">
      <c r="B4" s="161" t="s">
        <v>302</v>
      </c>
      <c r="C4" s="162"/>
      <c r="D4" s="51">
        <f>SUMIF(G:G,"Student",O:O)</f>
        <v>31750</v>
      </c>
      <c r="E4" s="188">
        <f>D4+D5</f>
        <v>152750</v>
      </c>
      <c r="F4" s="173">
        <f>SUMIFS(H:H,G:G,"Student",R:R,"&lt;&gt;Error")</f>
        <v>100</v>
      </c>
      <c r="G4" s="49"/>
      <c r="L4" s="165" t="s">
        <v>345</v>
      </c>
      <c r="M4" s="166"/>
      <c r="N4" s="167"/>
      <c r="O4" s="90"/>
      <c r="P4" s="90"/>
      <c r="Q4" s="90"/>
      <c r="R4" s="77"/>
    </row>
    <row r="5" spans="2:18" s="20" customFormat="1" ht="20.100000000000001" customHeight="1" x14ac:dyDescent="0.35">
      <c r="B5" s="163" t="s">
        <v>303</v>
      </c>
      <c r="C5" s="164"/>
      <c r="D5" s="52">
        <f>SUMIF(G:G,"Student",P:P)</f>
        <v>121000</v>
      </c>
      <c r="E5" s="189"/>
      <c r="F5" s="174"/>
      <c r="G5" s="49"/>
      <c r="H5" s="50"/>
      <c r="I5" s="50"/>
      <c r="J5" s="50"/>
      <c r="L5" s="175" t="s">
        <v>354</v>
      </c>
      <c r="M5" s="176"/>
      <c r="N5" s="177"/>
      <c r="O5" s="50"/>
      <c r="P5" s="50"/>
      <c r="Q5" s="50"/>
      <c r="R5" s="77"/>
    </row>
    <row r="6" spans="2:18" s="20" customFormat="1" ht="20.100000000000001" customHeight="1" x14ac:dyDescent="0.35">
      <c r="B6" s="161" t="s">
        <v>304</v>
      </c>
      <c r="C6" s="162"/>
      <c r="D6" s="51">
        <f>SUMIF(G:G,"Staff",O:O)</f>
        <v>3175</v>
      </c>
      <c r="E6" s="186">
        <f>D6+D7</f>
        <v>128585</v>
      </c>
      <c r="F6" s="171">
        <f>SUMIFS(H:H,G:G,"Staff",R:R,"&lt;&gt;Error")</f>
        <v>111</v>
      </c>
      <c r="G6" s="49"/>
      <c r="L6" s="178"/>
      <c r="M6" s="179"/>
      <c r="N6" s="180"/>
      <c r="R6" s="77"/>
    </row>
    <row r="7" spans="2:18" s="20" customFormat="1" ht="20.100000000000001" customHeight="1" x14ac:dyDescent="0.35">
      <c r="B7" s="163" t="s">
        <v>305</v>
      </c>
      <c r="C7" s="164"/>
      <c r="D7" s="52">
        <f>SUMIF(G:G,"Staff",P:P)</f>
        <v>125410</v>
      </c>
      <c r="E7" s="187"/>
      <c r="F7" s="172"/>
      <c r="G7" s="49"/>
      <c r="L7" s="178"/>
      <c r="M7" s="179"/>
      <c r="N7" s="180"/>
      <c r="R7" s="77"/>
    </row>
    <row r="8" spans="2:18" s="20" customFormat="1" ht="20.100000000000001" customHeight="1" x14ac:dyDescent="0.35">
      <c r="B8" s="161" t="s">
        <v>306</v>
      </c>
      <c r="C8" s="162"/>
      <c r="D8" s="51">
        <f>SUM(O:O)</f>
        <v>34925</v>
      </c>
      <c r="E8" s="184">
        <f>D8+D9</f>
        <v>281335</v>
      </c>
      <c r="F8" s="169">
        <f>F4+F6</f>
        <v>211</v>
      </c>
      <c r="G8" s="49"/>
      <c r="L8" s="178"/>
      <c r="M8" s="179"/>
      <c r="N8" s="180"/>
      <c r="R8" s="77"/>
    </row>
    <row r="9" spans="2:18" s="20" customFormat="1" ht="20.100000000000001" customHeight="1" x14ac:dyDescent="0.35">
      <c r="B9" s="163" t="s">
        <v>307</v>
      </c>
      <c r="C9" s="164"/>
      <c r="D9" s="52">
        <f>SUM(P:P)</f>
        <v>246410</v>
      </c>
      <c r="E9" s="185"/>
      <c r="F9" s="170"/>
      <c r="G9" s="49"/>
      <c r="L9" s="178"/>
      <c r="M9" s="179"/>
      <c r="N9" s="180"/>
      <c r="R9" s="77"/>
    </row>
    <row r="10" spans="2:18" s="20" customFormat="1" x14ac:dyDescent="0.35">
      <c r="B10" s="163" t="s">
        <v>344</v>
      </c>
      <c r="C10" s="164"/>
      <c r="D10" s="52">
        <f>SUM(N:N)</f>
        <v>45120</v>
      </c>
      <c r="L10" s="178"/>
      <c r="M10" s="179"/>
      <c r="N10" s="180"/>
      <c r="R10" s="94"/>
    </row>
    <row r="11" spans="2:18" s="45" customFormat="1" ht="62.25" customHeight="1" x14ac:dyDescent="0.35">
      <c r="B11" s="86"/>
      <c r="L11" s="181"/>
      <c r="M11" s="182"/>
      <c r="N11" s="183"/>
      <c r="R11" s="87"/>
    </row>
    <row r="12" spans="2:18" ht="75" customHeight="1" x14ac:dyDescent="0.35">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31" si="2">IF(AND(M13&gt;0,L13&lt;&gt;""),IF(M13&gt;(ROUND( (ROUND(ROUND(H13,0)*(VLOOKUP(J13,TravelCosts,2,FALSE)),2))/0.65,2)),ROUND(M13*0.8,2),"covered by unit cost"),0)</f>
        <v>0</v>
      </c>
      <c r="O13" s="37">
        <f t="shared" ref="O13:O31" si="3">IF(OR(AND(L13&lt;&gt;"",M13&gt;0,ISNUMBER(N13)),R13="Error"),0,ROUND(ROUND(H13,0)*(VLOOKUP(J13,TravelCosts,2,FALSE)),2))</f>
        <v>0</v>
      </c>
      <c r="P13" s="37">
        <f t="shared" ref="P13:P31" si="4">IF(R13="Error",0,IF(AND(G13="Staff",K13&gt;0,K13&lt;15),(120*K13)*H13,IF(AND(G13="Staff",K13&gt;14,K13&lt;61),(1680+((K13-14)*70))*H13,IF(AND(G13="Staff",K13&gt;60,K13&lt;91),(4900+((K13-60)*50))*H13,IF(AND(G13="Student",K13&gt;0,K13&lt;15),(55*K13)*H13,IF(AND(G13="Student",K13&gt;14,K13&lt;91),(770+((K13-14)*40))*H13,0))))))</f>
        <v>0</v>
      </c>
      <c r="Q13" s="38">
        <f t="shared" ref="Q13:Q31" si="5">IFERROR(N13+O13+P13,O13+P13)</f>
        <v>0</v>
      </c>
      <c r="R13" s="91" t="str">
        <f t="shared" ref="R13:R31"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173</v>
      </c>
      <c r="C14" s="19" t="s">
        <v>8</v>
      </c>
      <c r="D14" s="42" t="str">
        <f t="shared" si="0"/>
        <v>BNV (Bošnjačko nacionalno vijeće)</v>
      </c>
      <c r="E14" s="42" t="str">
        <f t="shared" si="1"/>
        <v>Serbia</v>
      </c>
      <c r="F14" s="18" t="s">
        <v>381</v>
      </c>
      <c r="G14" s="78" t="s">
        <v>208</v>
      </c>
      <c r="H14" s="79">
        <v>5</v>
      </c>
      <c r="I14" s="18" t="s">
        <v>380</v>
      </c>
      <c r="J14" s="14" t="s">
        <v>150</v>
      </c>
      <c r="K14" s="79">
        <v>3</v>
      </c>
      <c r="L14" s="92" t="s">
        <v>347</v>
      </c>
      <c r="M14" s="93">
        <v>2500</v>
      </c>
      <c r="N14" s="37">
        <f t="shared" si="2"/>
        <v>2000</v>
      </c>
      <c r="O14" s="37">
        <f t="shared" si="3"/>
        <v>0</v>
      </c>
      <c r="P14" s="37">
        <f t="shared" si="4"/>
        <v>1800</v>
      </c>
      <c r="Q14" s="38">
        <f t="shared" si="5"/>
        <v>3800</v>
      </c>
      <c r="R14" s="91" t="str">
        <f t="shared" si="6"/>
        <v/>
      </c>
    </row>
    <row r="15" spans="2:18" s="34" customFormat="1" x14ac:dyDescent="0.3">
      <c r="B15" s="14" t="s">
        <v>173</v>
      </c>
      <c r="C15" s="19" t="s">
        <v>11</v>
      </c>
      <c r="D15" s="42" t="str">
        <f t="shared" ref="D15:D35" si="7">IFERROR(IF(VLOOKUP(C15,PartnerN°Ref,2,FALSE)=0,"",VLOOKUP(C15,PartnerN°Ref,2,FALSE)),"")</f>
        <v>Zavod za zaštitu spomenika kulture Novog Pazara</v>
      </c>
      <c r="E15" s="42" t="str">
        <f t="shared" ref="E15:E35" si="8">IFERROR(IF(OR(VLOOKUP(C15,PartnerN°Ref,4,FALSE)="Country not found",VLOOKUP(C15,PartnerN°Ref,3,FALSE)=0),"",VLOOKUP(C15,PartnerN°Ref,3,FALSE)),"")</f>
        <v>Serbia</v>
      </c>
      <c r="F15" s="18" t="s">
        <v>381</v>
      </c>
      <c r="G15" s="78" t="s">
        <v>208</v>
      </c>
      <c r="H15" s="79">
        <v>3</v>
      </c>
      <c r="I15" s="18" t="s">
        <v>380</v>
      </c>
      <c r="J15" s="14" t="s">
        <v>150</v>
      </c>
      <c r="K15" s="79">
        <v>3</v>
      </c>
      <c r="L15" s="92" t="s">
        <v>347</v>
      </c>
      <c r="M15" s="93">
        <v>1500</v>
      </c>
      <c r="N15" s="37">
        <f t="shared" si="2"/>
        <v>1200</v>
      </c>
      <c r="O15" s="37">
        <f t="shared" si="3"/>
        <v>0</v>
      </c>
      <c r="P15" s="37">
        <f t="shared" si="4"/>
        <v>1080</v>
      </c>
      <c r="Q15" s="38">
        <f t="shared" si="5"/>
        <v>2280</v>
      </c>
      <c r="R15" s="91" t="str">
        <f t="shared" si="6"/>
        <v/>
      </c>
    </row>
    <row r="16" spans="2:18" s="34" customFormat="1" x14ac:dyDescent="0.3">
      <c r="B16" s="14" t="s">
        <v>173</v>
      </c>
      <c r="C16" s="19" t="s">
        <v>12</v>
      </c>
      <c r="D16" s="42" t="str">
        <f t="shared" si="7"/>
        <v>Zavičajni muzej u Tutinu</v>
      </c>
      <c r="E16" s="42" t="str">
        <f t="shared" si="8"/>
        <v>Serbia</v>
      </c>
      <c r="F16" s="18" t="s">
        <v>381</v>
      </c>
      <c r="G16" s="78" t="s">
        <v>208</v>
      </c>
      <c r="H16" s="79">
        <v>3</v>
      </c>
      <c r="I16" s="18" t="s">
        <v>380</v>
      </c>
      <c r="J16" s="14" t="s">
        <v>149</v>
      </c>
      <c r="K16" s="79">
        <v>3</v>
      </c>
      <c r="L16" s="92" t="s">
        <v>347</v>
      </c>
      <c r="M16" s="93">
        <v>1000</v>
      </c>
      <c r="N16" s="37">
        <f t="shared" si="2"/>
        <v>800</v>
      </c>
      <c r="O16" s="37">
        <f t="shared" si="3"/>
        <v>0</v>
      </c>
      <c r="P16" s="37">
        <f t="shared" si="4"/>
        <v>1080</v>
      </c>
      <c r="Q16" s="38">
        <f t="shared" si="5"/>
        <v>1880</v>
      </c>
      <c r="R16" s="91" t="str">
        <f t="shared" si="6"/>
        <v/>
      </c>
    </row>
    <row r="17" spans="2:18" s="34" customFormat="1" x14ac:dyDescent="0.3">
      <c r="B17" s="14" t="s">
        <v>172</v>
      </c>
      <c r="C17" s="19" t="s">
        <v>8</v>
      </c>
      <c r="D17" s="42" t="str">
        <f t="shared" si="7"/>
        <v>BNV (Bošnjačko nacionalno vijeće)</v>
      </c>
      <c r="E17" s="42" t="str">
        <f t="shared" si="8"/>
        <v>Serbia</v>
      </c>
      <c r="F17" s="18" t="s">
        <v>381</v>
      </c>
      <c r="G17" s="78" t="s">
        <v>208</v>
      </c>
      <c r="H17" s="79">
        <v>3</v>
      </c>
      <c r="I17" s="18" t="s">
        <v>382</v>
      </c>
      <c r="J17" s="14" t="s">
        <v>150</v>
      </c>
      <c r="K17" s="79">
        <v>3</v>
      </c>
      <c r="L17" s="92" t="s">
        <v>347</v>
      </c>
      <c r="M17" s="93">
        <v>1500</v>
      </c>
      <c r="N17" s="37">
        <f t="shared" si="2"/>
        <v>1200</v>
      </c>
      <c r="O17" s="37">
        <f t="shared" si="3"/>
        <v>0</v>
      </c>
      <c r="P17" s="37">
        <f t="shared" si="4"/>
        <v>1080</v>
      </c>
      <c r="Q17" s="38">
        <f t="shared" si="5"/>
        <v>2280</v>
      </c>
      <c r="R17" s="91" t="str">
        <f t="shared" si="6"/>
        <v/>
      </c>
    </row>
    <row r="18" spans="2:18" s="34" customFormat="1" x14ac:dyDescent="0.3">
      <c r="B18" s="14" t="s">
        <v>172</v>
      </c>
      <c r="C18" s="19" t="s">
        <v>9</v>
      </c>
      <c r="D18" s="42" t="str">
        <f t="shared" si="7"/>
        <v>Narodni muzej u Beogradu</v>
      </c>
      <c r="E18" s="42" t="str">
        <f t="shared" si="8"/>
        <v>Serbia</v>
      </c>
      <c r="F18" s="18" t="s">
        <v>381</v>
      </c>
      <c r="G18" s="78" t="s">
        <v>208</v>
      </c>
      <c r="H18" s="79">
        <v>3</v>
      </c>
      <c r="I18" s="18" t="s">
        <v>382</v>
      </c>
      <c r="J18" s="14" t="s">
        <v>150</v>
      </c>
      <c r="K18" s="79">
        <v>3</v>
      </c>
      <c r="L18" s="92" t="s">
        <v>347</v>
      </c>
      <c r="M18" s="93">
        <v>1400</v>
      </c>
      <c r="N18" s="37">
        <f t="shared" si="2"/>
        <v>1120</v>
      </c>
      <c r="O18" s="37">
        <f t="shared" si="3"/>
        <v>0</v>
      </c>
      <c r="P18" s="37">
        <f t="shared" si="4"/>
        <v>1080</v>
      </c>
      <c r="Q18" s="38">
        <f t="shared" si="5"/>
        <v>2200</v>
      </c>
      <c r="R18" s="91" t="str">
        <f t="shared" si="6"/>
        <v/>
      </c>
    </row>
    <row r="19" spans="2:18" s="34" customFormat="1" x14ac:dyDescent="0.3">
      <c r="B19" s="14" t="s">
        <v>172</v>
      </c>
      <c r="C19" s="19" t="s">
        <v>13</v>
      </c>
      <c r="D19" s="42" t="str">
        <f t="shared" si="7"/>
        <v>Zavičajni muzej Prijepolje</v>
      </c>
      <c r="E19" s="42" t="str">
        <f t="shared" si="8"/>
        <v>Serbia</v>
      </c>
      <c r="F19" s="18" t="s">
        <v>381</v>
      </c>
      <c r="G19" s="78" t="s">
        <v>208</v>
      </c>
      <c r="H19" s="79">
        <v>2</v>
      </c>
      <c r="I19" s="18" t="s">
        <v>382</v>
      </c>
      <c r="J19" s="14" t="s">
        <v>150</v>
      </c>
      <c r="K19" s="79">
        <v>3</v>
      </c>
      <c r="L19" s="92" t="s">
        <v>347</v>
      </c>
      <c r="M19" s="93">
        <v>1000</v>
      </c>
      <c r="N19" s="37">
        <f t="shared" si="2"/>
        <v>800</v>
      </c>
      <c r="O19" s="37">
        <f t="shared" si="3"/>
        <v>0</v>
      </c>
      <c r="P19" s="37">
        <f t="shared" si="4"/>
        <v>720</v>
      </c>
      <c r="Q19" s="38">
        <f t="shared" si="5"/>
        <v>1520</v>
      </c>
      <c r="R19" s="91" t="str">
        <f t="shared" si="6"/>
        <v/>
      </c>
    </row>
    <row r="20" spans="2:18" s="34" customFormat="1" x14ac:dyDescent="0.3">
      <c r="B20" s="14" t="s">
        <v>172</v>
      </c>
      <c r="C20" s="19" t="s">
        <v>17</v>
      </c>
      <c r="D20" s="42" t="str">
        <f t="shared" si="7"/>
        <v>Národní muzeum</v>
      </c>
      <c r="E20" s="42" t="str">
        <f t="shared" si="8"/>
        <v>Czech Republic</v>
      </c>
      <c r="F20" s="18" t="s">
        <v>383</v>
      </c>
      <c r="G20" s="78" t="s">
        <v>208</v>
      </c>
      <c r="H20" s="79">
        <v>5</v>
      </c>
      <c r="I20" s="18" t="s">
        <v>385</v>
      </c>
      <c r="J20" s="14" t="s">
        <v>150</v>
      </c>
      <c r="K20" s="79">
        <v>5</v>
      </c>
      <c r="L20" s="92" t="s">
        <v>347</v>
      </c>
      <c r="M20" s="93">
        <v>2500</v>
      </c>
      <c r="N20" s="37">
        <f t="shared" si="2"/>
        <v>2000</v>
      </c>
      <c r="O20" s="37">
        <f t="shared" si="3"/>
        <v>0</v>
      </c>
      <c r="P20" s="37">
        <f t="shared" si="4"/>
        <v>3000</v>
      </c>
      <c r="Q20" s="38">
        <f t="shared" si="5"/>
        <v>5000</v>
      </c>
      <c r="R20" s="91" t="str">
        <f t="shared" si="6"/>
        <v/>
      </c>
    </row>
    <row r="21" spans="2:18" s="34" customFormat="1" x14ac:dyDescent="0.3">
      <c r="B21" s="14" t="s">
        <v>172</v>
      </c>
      <c r="C21" s="19" t="s">
        <v>18</v>
      </c>
      <c r="D21" s="42" t="str">
        <f t="shared" si="7"/>
        <v>Narodni muzej Slovenije</v>
      </c>
      <c r="E21" s="42" t="str">
        <f t="shared" si="8"/>
        <v>Slovenia</v>
      </c>
      <c r="F21" s="18" t="s">
        <v>384</v>
      </c>
      <c r="G21" s="78" t="s">
        <v>208</v>
      </c>
      <c r="H21" s="79">
        <v>4</v>
      </c>
      <c r="I21" s="18" t="s">
        <v>385</v>
      </c>
      <c r="J21" s="14" t="s">
        <v>150</v>
      </c>
      <c r="K21" s="79">
        <v>3</v>
      </c>
      <c r="L21" s="92" t="s">
        <v>347</v>
      </c>
      <c r="M21" s="93">
        <v>2000</v>
      </c>
      <c r="N21" s="37">
        <f t="shared" si="2"/>
        <v>1600</v>
      </c>
      <c r="O21" s="37">
        <f t="shared" si="3"/>
        <v>0</v>
      </c>
      <c r="P21" s="37">
        <f t="shared" si="4"/>
        <v>1440</v>
      </c>
      <c r="Q21" s="38">
        <f t="shared" si="5"/>
        <v>3040</v>
      </c>
      <c r="R21" s="91" t="str">
        <f t="shared" si="6"/>
        <v/>
      </c>
    </row>
    <row r="22" spans="2:18" s="34" customFormat="1" x14ac:dyDescent="0.3">
      <c r="B22" s="14" t="s">
        <v>172</v>
      </c>
      <c r="C22" s="19" t="s">
        <v>19</v>
      </c>
      <c r="D22" s="42" t="str">
        <f t="shared" si="7"/>
        <v>Muzej grada Zagreba</v>
      </c>
      <c r="E22" s="42" t="str">
        <f t="shared" si="8"/>
        <v>Croatia</v>
      </c>
      <c r="F22" s="18" t="s">
        <v>386</v>
      </c>
      <c r="G22" s="78" t="s">
        <v>208</v>
      </c>
      <c r="H22" s="79">
        <v>5</v>
      </c>
      <c r="I22" s="18" t="s">
        <v>385</v>
      </c>
      <c r="J22" s="14" t="s">
        <v>149</v>
      </c>
      <c r="K22" s="79">
        <v>5</v>
      </c>
      <c r="L22" s="92" t="s">
        <v>347</v>
      </c>
      <c r="M22" s="93">
        <v>1500</v>
      </c>
      <c r="N22" s="37">
        <f t="shared" si="2"/>
        <v>1200</v>
      </c>
      <c r="O22" s="37">
        <f t="shared" si="3"/>
        <v>0</v>
      </c>
      <c r="P22" s="37">
        <f t="shared" si="4"/>
        <v>3000</v>
      </c>
      <c r="Q22" s="38">
        <f t="shared" si="5"/>
        <v>4200</v>
      </c>
      <c r="R22" s="91" t="str">
        <f t="shared" si="6"/>
        <v/>
      </c>
    </row>
    <row r="23" spans="2:18" s="34" customFormat="1" x14ac:dyDescent="0.3">
      <c r="B23" s="14" t="s">
        <v>172</v>
      </c>
      <c r="C23" s="19" t="s">
        <v>156</v>
      </c>
      <c r="D23" s="42" t="str">
        <f t="shared" si="7"/>
        <v>Österreichische Galerie Belvedere</v>
      </c>
      <c r="E23" s="42" t="str">
        <f t="shared" si="8"/>
        <v>Austria</v>
      </c>
      <c r="F23" s="18" t="s">
        <v>387</v>
      </c>
      <c r="G23" s="78" t="s">
        <v>208</v>
      </c>
      <c r="H23" s="79">
        <v>5</v>
      </c>
      <c r="I23" s="18" t="s">
        <v>385</v>
      </c>
      <c r="J23" s="14" t="s">
        <v>150</v>
      </c>
      <c r="K23" s="79">
        <v>5</v>
      </c>
      <c r="L23" s="92" t="s">
        <v>347</v>
      </c>
      <c r="M23" s="93">
        <v>2500</v>
      </c>
      <c r="N23" s="37">
        <f t="shared" si="2"/>
        <v>2000</v>
      </c>
      <c r="O23" s="37">
        <f t="shared" si="3"/>
        <v>0</v>
      </c>
      <c r="P23" s="37">
        <f t="shared" si="4"/>
        <v>3000</v>
      </c>
      <c r="Q23" s="38">
        <f t="shared" si="5"/>
        <v>5000</v>
      </c>
      <c r="R23" s="91" t="str">
        <f t="shared" si="6"/>
        <v/>
      </c>
    </row>
    <row r="24" spans="2:18" s="34" customFormat="1" x14ac:dyDescent="0.3">
      <c r="B24" s="14" t="s">
        <v>172</v>
      </c>
      <c r="C24" s="19" t="s">
        <v>9</v>
      </c>
      <c r="D24" s="42" t="str">
        <f t="shared" si="7"/>
        <v>Narodni muzej u Beogradu</v>
      </c>
      <c r="E24" s="42" t="str">
        <f t="shared" si="8"/>
        <v>Serbia</v>
      </c>
      <c r="F24" s="18" t="s">
        <v>381</v>
      </c>
      <c r="G24" s="78" t="s">
        <v>208</v>
      </c>
      <c r="H24" s="79">
        <v>10</v>
      </c>
      <c r="I24" s="18" t="s">
        <v>380</v>
      </c>
      <c r="J24" s="14" t="s">
        <v>150</v>
      </c>
      <c r="K24" s="79">
        <v>7</v>
      </c>
      <c r="L24" s="92" t="s">
        <v>347</v>
      </c>
      <c r="M24" s="93">
        <v>7000</v>
      </c>
      <c r="N24" s="37">
        <f t="shared" si="2"/>
        <v>5600</v>
      </c>
      <c r="O24" s="37">
        <f t="shared" si="3"/>
        <v>0</v>
      </c>
      <c r="P24" s="37">
        <f t="shared" si="4"/>
        <v>8400</v>
      </c>
      <c r="Q24" s="38">
        <f t="shared" si="5"/>
        <v>14000</v>
      </c>
      <c r="R24" s="91" t="str">
        <f t="shared" si="6"/>
        <v/>
      </c>
    </row>
    <row r="25" spans="2:18" s="34" customFormat="1" x14ac:dyDescent="0.3">
      <c r="B25" s="14" t="s">
        <v>172</v>
      </c>
      <c r="C25" s="19" t="s">
        <v>10</v>
      </c>
      <c r="D25" s="42" t="str">
        <f t="shared" si="7"/>
        <v>Etnografski muzej u Beogradu</v>
      </c>
      <c r="E25" s="42" t="str">
        <f t="shared" si="8"/>
        <v>Serbia</v>
      </c>
      <c r="F25" s="18" t="s">
        <v>381</v>
      </c>
      <c r="G25" s="78" t="s">
        <v>208</v>
      </c>
      <c r="H25" s="79">
        <v>5</v>
      </c>
      <c r="I25" s="18" t="s">
        <v>380</v>
      </c>
      <c r="J25" s="14" t="s">
        <v>150</v>
      </c>
      <c r="K25" s="79">
        <v>7</v>
      </c>
      <c r="L25" s="92" t="s">
        <v>347</v>
      </c>
      <c r="M25" s="93">
        <v>7000</v>
      </c>
      <c r="N25" s="37">
        <f t="shared" si="2"/>
        <v>5600</v>
      </c>
      <c r="O25" s="37">
        <f t="shared" si="3"/>
        <v>0</v>
      </c>
      <c r="P25" s="37">
        <f t="shared" si="4"/>
        <v>4200</v>
      </c>
      <c r="Q25" s="38">
        <f t="shared" si="5"/>
        <v>9800</v>
      </c>
      <c r="R25" s="91" t="str">
        <f t="shared" si="6"/>
        <v/>
      </c>
    </row>
    <row r="26" spans="2:18" s="34" customFormat="1" x14ac:dyDescent="0.3">
      <c r="B26" s="14" t="s">
        <v>172</v>
      </c>
      <c r="C26" s="19" t="s">
        <v>11</v>
      </c>
      <c r="D26" s="42" t="str">
        <f t="shared" si="7"/>
        <v>Zavod za zaštitu spomenika kulture Novog Pazara</v>
      </c>
      <c r="E26" s="42" t="str">
        <f t="shared" si="8"/>
        <v>Serbia</v>
      </c>
      <c r="F26" s="18" t="s">
        <v>381</v>
      </c>
      <c r="G26" s="78" t="s">
        <v>208</v>
      </c>
      <c r="H26" s="79">
        <v>10</v>
      </c>
      <c r="I26" s="18" t="s">
        <v>387</v>
      </c>
      <c r="J26" s="14" t="s">
        <v>150</v>
      </c>
      <c r="K26" s="79">
        <v>15</v>
      </c>
      <c r="L26" s="92" t="s">
        <v>347</v>
      </c>
      <c r="M26" s="93">
        <v>5000</v>
      </c>
      <c r="N26" s="37">
        <f t="shared" si="2"/>
        <v>4000</v>
      </c>
      <c r="O26" s="37">
        <f t="shared" si="3"/>
        <v>0</v>
      </c>
      <c r="P26" s="37">
        <f t="shared" si="4"/>
        <v>17500</v>
      </c>
      <c r="Q26" s="38">
        <f t="shared" si="5"/>
        <v>21500</v>
      </c>
      <c r="R26" s="91" t="str">
        <f t="shared" si="6"/>
        <v/>
      </c>
    </row>
    <row r="27" spans="2:18" s="34" customFormat="1" x14ac:dyDescent="0.3">
      <c r="B27" s="14" t="s">
        <v>172</v>
      </c>
      <c r="C27" s="19" t="s">
        <v>14</v>
      </c>
      <c r="D27" s="42" t="str">
        <f t="shared" si="7"/>
        <v>Muzej Staro Selo</v>
      </c>
      <c r="E27" s="42" t="str">
        <f t="shared" si="8"/>
        <v>Serbia</v>
      </c>
      <c r="F27" s="18" t="s">
        <v>381</v>
      </c>
      <c r="G27" s="78" t="s">
        <v>208</v>
      </c>
      <c r="H27" s="79">
        <v>3</v>
      </c>
      <c r="I27" s="18" t="s">
        <v>387</v>
      </c>
      <c r="J27" s="14" t="s">
        <v>150</v>
      </c>
      <c r="K27" s="79">
        <v>15</v>
      </c>
      <c r="L27" s="92" t="s">
        <v>347</v>
      </c>
      <c r="M27" s="93">
        <v>1500</v>
      </c>
      <c r="N27" s="37">
        <f t="shared" si="2"/>
        <v>1200</v>
      </c>
      <c r="O27" s="37">
        <f t="shared" si="3"/>
        <v>0</v>
      </c>
      <c r="P27" s="37">
        <f t="shared" si="4"/>
        <v>5250</v>
      </c>
      <c r="Q27" s="38">
        <f t="shared" si="5"/>
        <v>6450</v>
      </c>
      <c r="R27" s="91" t="str">
        <f t="shared" si="6"/>
        <v/>
      </c>
    </row>
    <row r="28" spans="2:18" s="34" customFormat="1" x14ac:dyDescent="0.3">
      <c r="B28" s="14" t="s">
        <v>172</v>
      </c>
      <c r="C28" s="19" t="s">
        <v>15</v>
      </c>
      <c r="D28" s="42" t="str">
        <f t="shared" si="7"/>
        <v>British Museum</v>
      </c>
      <c r="E28" s="42" t="str">
        <f t="shared" si="8"/>
        <v>United Kingdom</v>
      </c>
      <c r="F28" s="18" t="s">
        <v>380</v>
      </c>
      <c r="G28" s="78" t="s">
        <v>208</v>
      </c>
      <c r="H28" s="79">
        <v>20</v>
      </c>
      <c r="I28" s="18" t="s">
        <v>385</v>
      </c>
      <c r="J28" s="14" t="s">
        <v>150</v>
      </c>
      <c r="K28" s="79">
        <v>14</v>
      </c>
      <c r="L28" s="92" t="s">
        <v>347</v>
      </c>
      <c r="M28" s="93">
        <v>10000</v>
      </c>
      <c r="N28" s="37">
        <f t="shared" si="2"/>
        <v>8000</v>
      </c>
      <c r="O28" s="37">
        <f t="shared" si="3"/>
        <v>0</v>
      </c>
      <c r="P28" s="37">
        <f t="shared" si="4"/>
        <v>33600</v>
      </c>
      <c r="Q28" s="38">
        <f t="shared" si="5"/>
        <v>41600</v>
      </c>
      <c r="R28" s="91" t="str">
        <f t="shared" si="6"/>
        <v/>
      </c>
    </row>
    <row r="29" spans="2:18" s="34" customFormat="1" x14ac:dyDescent="0.3">
      <c r="B29" s="14" t="s">
        <v>172</v>
      </c>
      <c r="C29" s="19" t="s">
        <v>16</v>
      </c>
      <c r="D29" s="42" t="str">
        <f t="shared" si="7"/>
        <v>Instituto del Patrimonio Cultural de España</v>
      </c>
      <c r="E29" s="42" t="str">
        <f t="shared" si="8"/>
        <v>Spain</v>
      </c>
      <c r="F29" s="18" t="s">
        <v>382</v>
      </c>
      <c r="G29" s="78" t="s">
        <v>208</v>
      </c>
      <c r="H29" s="79">
        <v>7</v>
      </c>
      <c r="I29" s="18" t="s">
        <v>385</v>
      </c>
      <c r="J29" s="14" t="s">
        <v>151</v>
      </c>
      <c r="K29" s="79">
        <v>7</v>
      </c>
      <c r="L29" s="92" t="s">
        <v>347</v>
      </c>
      <c r="M29" s="93">
        <v>4000</v>
      </c>
      <c r="N29" s="37">
        <f t="shared" si="2"/>
        <v>3200</v>
      </c>
      <c r="O29" s="37">
        <f t="shared" si="3"/>
        <v>0</v>
      </c>
      <c r="P29" s="37">
        <f t="shared" si="4"/>
        <v>5880</v>
      </c>
      <c r="Q29" s="38">
        <f t="shared" si="5"/>
        <v>9080</v>
      </c>
      <c r="R29" s="91" t="str">
        <f t="shared" si="6"/>
        <v/>
      </c>
    </row>
    <row r="30" spans="2:18" s="34" customFormat="1" x14ac:dyDescent="0.3">
      <c r="B30" s="14" t="s">
        <v>319</v>
      </c>
      <c r="C30" s="19" t="s">
        <v>26</v>
      </c>
      <c r="D30" s="42" t="str">
        <f t="shared" si="7"/>
        <v>European Travel Commission</v>
      </c>
      <c r="E30" s="42" t="str">
        <f t="shared" si="8"/>
        <v>Belgium</v>
      </c>
      <c r="F30" s="18" t="s">
        <v>388</v>
      </c>
      <c r="G30" s="78" t="s">
        <v>208</v>
      </c>
      <c r="H30" s="79">
        <v>3</v>
      </c>
      <c r="I30" s="18" t="s">
        <v>385</v>
      </c>
      <c r="J30" s="14" t="s">
        <v>150</v>
      </c>
      <c r="K30" s="79">
        <v>5</v>
      </c>
      <c r="L30" s="92" t="s">
        <v>347</v>
      </c>
      <c r="M30" s="93">
        <v>2000</v>
      </c>
      <c r="N30" s="37">
        <f t="shared" si="2"/>
        <v>1600</v>
      </c>
      <c r="O30" s="37">
        <f t="shared" si="3"/>
        <v>0</v>
      </c>
      <c r="P30" s="37">
        <f t="shared" si="4"/>
        <v>1800</v>
      </c>
      <c r="Q30" s="38">
        <f t="shared" si="5"/>
        <v>3400</v>
      </c>
      <c r="R30" s="91" t="str">
        <f t="shared" si="6"/>
        <v/>
      </c>
    </row>
    <row r="31" spans="2:18" s="34" customFormat="1" x14ac:dyDescent="0.3">
      <c r="B31" s="14" t="s">
        <v>174</v>
      </c>
      <c r="C31" s="19" t="s">
        <v>8</v>
      </c>
      <c r="D31" s="42" t="str">
        <f t="shared" si="7"/>
        <v>BNV (Bošnjačko nacionalno vijeće)</v>
      </c>
      <c r="E31" s="42" t="str">
        <f t="shared" si="8"/>
        <v>Serbia</v>
      </c>
      <c r="F31" s="18" t="s">
        <v>381</v>
      </c>
      <c r="G31" s="78" t="s">
        <v>210</v>
      </c>
      <c r="H31" s="79">
        <v>50</v>
      </c>
      <c r="I31" s="18" t="s">
        <v>389</v>
      </c>
      <c r="J31" s="14" t="s">
        <v>150</v>
      </c>
      <c r="K31" s="79">
        <v>20</v>
      </c>
      <c r="L31" s="92"/>
      <c r="M31" s="93"/>
      <c r="N31" s="37">
        <f t="shared" si="2"/>
        <v>0</v>
      </c>
      <c r="O31" s="37">
        <f t="shared" si="3"/>
        <v>13750</v>
      </c>
      <c r="P31" s="37">
        <f t="shared" si="4"/>
        <v>50500</v>
      </c>
      <c r="Q31" s="38">
        <f t="shared" si="5"/>
        <v>64250</v>
      </c>
      <c r="R31" s="91" t="str">
        <f t="shared" si="6"/>
        <v/>
      </c>
    </row>
    <row r="32" spans="2:18" s="107" customFormat="1" x14ac:dyDescent="0.3">
      <c r="B32" s="102" t="s">
        <v>173</v>
      </c>
      <c r="C32" s="104" t="s">
        <v>109</v>
      </c>
      <c r="D32" s="112" t="str">
        <f t="shared" si="7"/>
        <v>KakoGod Team</v>
      </c>
      <c r="E32" s="112" t="str">
        <f t="shared" si="8"/>
        <v>Bosnia and Herzegovina</v>
      </c>
      <c r="F32" s="103" t="s">
        <v>381</v>
      </c>
      <c r="G32" s="113" t="s">
        <v>208</v>
      </c>
      <c r="H32" s="114">
        <v>5</v>
      </c>
      <c r="I32" s="103" t="s">
        <v>380</v>
      </c>
      <c r="J32" s="102" t="s">
        <v>150</v>
      </c>
      <c r="K32" s="114">
        <v>15</v>
      </c>
      <c r="L32" s="116" t="s">
        <v>347</v>
      </c>
      <c r="M32" s="117">
        <v>2500</v>
      </c>
      <c r="N32" s="110">
        <f t="shared" ref="N32:N35" si="9">IF(AND(M32&gt;0,L32&lt;&gt;""),IF(M32&gt;(ROUND( (ROUND(ROUND(H32,0)*(VLOOKUP(J32,TravelCosts,2,FALSE)),2))/0.65,2)),ROUND(M32*0.8,2),"covered by unit cost"),0)</f>
        <v>2000</v>
      </c>
      <c r="O32" s="110">
        <f t="shared" ref="O32:O35" si="10">IF(OR(AND(L32&lt;&gt;"",M32&gt;0,ISNUMBER(N32)),R32="Error"),0,ROUND(ROUND(H32,0)*(VLOOKUP(J32,TravelCosts,2,FALSE)),2))</f>
        <v>0</v>
      </c>
      <c r="P32" s="110">
        <f t="shared" ref="P32:P35" si="11">IF(R32="Error",0,IF(AND(G32="Staff",K32&gt;0,K32&lt;15),(120*K32)*H32,IF(AND(G32="Staff",K32&gt;14,K32&lt;61),(1680+((K32-14)*70))*H32,IF(AND(G32="Staff",K32&gt;60,K32&lt;91),(4900+((K32-60)*50))*H32,IF(AND(G32="Student",K32&gt;0,K32&lt;15),(55*K32)*H32,IF(AND(G32="Student",K32&gt;14,K32&lt;91),(770+((K32-14)*40))*H32,0))))))</f>
        <v>8750</v>
      </c>
      <c r="Q32" s="111">
        <f t="shared" ref="Q32:Q35" si="12">IFERROR(N32+O32+P32,O32+P32)</f>
        <v>10750</v>
      </c>
      <c r="R32" s="115" t="str">
        <f t="shared" ref="R32:R35" si="13">IF(OR(COUNTIF(WorkPackage,B32)=0,COUNTIF(PartnerN°,C32)=0,D32="",COUNTIF(CountryALL,E32)=0,F32="",COUNTIF(Category2,G32)=0,ISNUMBER(H32)=FALSE,H32&lt;=0,I32="",COUNTIF(TravelBands,J32)=0,ISNUMBER(K32)=FALSE,OR(K32&lt;0,K32&gt;90),IF(ISNUMBER(H32)=TRUE,H32=INT(H32*1)/1=FALSE),IF(ISNUMBER(K32)=TRUE,K32=INT(K32*1)/1=FALSE),AND(L32&lt;&gt;"",M32=0),AND(L32="",M32&gt;0),ISNUMBER(N32)=FALSE ),"Error","")</f>
        <v/>
      </c>
    </row>
    <row r="33" spans="2:18" s="107" customFormat="1" x14ac:dyDescent="0.3">
      <c r="B33" s="102" t="s">
        <v>172</v>
      </c>
      <c r="C33" s="104" t="s">
        <v>109</v>
      </c>
      <c r="D33" s="112" t="str">
        <f t="shared" si="7"/>
        <v>KakoGod Team</v>
      </c>
      <c r="E33" s="112" t="str">
        <f t="shared" si="8"/>
        <v>Bosnia and Herzegovina</v>
      </c>
      <c r="F33" s="103" t="s">
        <v>381</v>
      </c>
      <c r="G33" s="113" t="s">
        <v>208</v>
      </c>
      <c r="H33" s="114">
        <v>5</v>
      </c>
      <c r="I33" s="103" t="s">
        <v>389</v>
      </c>
      <c r="J33" s="102" t="s">
        <v>150</v>
      </c>
      <c r="K33" s="114">
        <v>15</v>
      </c>
      <c r="L33" s="116"/>
      <c r="M33" s="117"/>
      <c r="N33" s="110">
        <f t="shared" si="9"/>
        <v>0</v>
      </c>
      <c r="O33" s="110">
        <f t="shared" si="10"/>
        <v>1375</v>
      </c>
      <c r="P33" s="110">
        <f t="shared" si="11"/>
        <v>8750</v>
      </c>
      <c r="Q33" s="111">
        <f t="shared" si="12"/>
        <v>10125</v>
      </c>
      <c r="R33" s="115" t="str">
        <f t="shared" si="13"/>
        <v/>
      </c>
    </row>
    <row r="34" spans="2:18" s="107" customFormat="1" x14ac:dyDescent="0.3">
      <c r="B34" s="102" t="s">
        <v>319</v>
      </c>
      <c r="C34" s="104" t="s">
        <v>109</v>
      </c>
      <c r="D34" s="112" t="str">
        <f t="shared" si="7"/>
        <v>KakoGod Team</v>
      </c>
      <c r="E34" s="112" t="str">
        <f t="shared" si="8"/>
        <v>Bosnia and Herzegovina</v>
      </c>
      <c r="F34" s="103" t="s">
        <v>381</v>
      </c>
      <c r="G34" s="113" t="s">
        <v>210</v>
      </c>
      <c r="H34" s="114">
        <v>50</v>
      </c>
      <c r="I34" s="103" t="s">
        <v>382</v>
      </c>
      <c r="J34" s="102" t="s">
        <v>151</v>
      </c>
      <c r="K34" s="114">
        <v>30</v>
      </c>
      <c r="L34" s="116"/>
      <c r="M34" s="117"/>
      <c r="N34" s="110">
        <f t="shared" si="9"/>
        <v>0</v>
      </c>
      <c r="O34" s="110">
        <f t="shared" si="10"/>
        <v>18000</v>
      </c>
      <c r="P34" s="110">
        <f t="shared" si="11"/>
        <v>70500</v>
      </c>
      <c r="Q34" s="111">
        <f t="shared" si="12"/>
        <v>88500</v>
      </c>
      <c r="R34" s="115" t="str">
        <f t="shared" si="13"/>
        <v/>
      </c>
    </row>
    <row r="35" spans="2:18" s="107" customFormat="1" x14ac:dyDescent="0.3">
      <c r="B35" s="102" t="s">
        <v>174</v>
      </c>
      <c r="C35" s="104" t="s">
        <v>109</v>
      </c>
      <c r="D35" s="112" t="str">
        <f t="shared" si="7"/>
        <v>KakoGod Team</v>
      </c>
      <c r="E35" s="112" t="str">
        <f t="shared" si="8"/>
        <v>Bosnia and Herzegovina</v>
      </c>
      <c r="F35" s="103" t="s">
        <v>381</v>
      </c>
      <c r="G35" s="113" t="s">
        <v>208</v>
      </c>
      <c r="H35" s="114">
        <v>5</v>
      </c>
      <c r="I35" s="103" t="s">
        <v>382</v>
      </c>
      <c r="J35" s="102" t="s">
        <v>151</v>
      </c>
      <c r="K35" s="114">
        <v>30</v>
      </c>
      <c r="L35" s="116"/>
      <c r="M35" s="117"/>
      <c r="N35" s="110">
        <f t="shared" si="9"/>
        <v>0</v>
      </c>
      <c r="O35" s="110">
        <f t="shared" si="10"/>
        <v>1800</v>
      </c>
      <c r="P35" s="110">
        <f t="shared" si="11"/>
        <v>14000</v>
      </c>
      <c r="Q35" s="111">
        <f t="shared" si="12"/>
        <v>15800</v>
      </c>
      <c r="R35" s="115" t="str">
        <f t="shared" si="13"/>
        <v/>
      </c>
    </row>
    <row r="37" spans="2:18" x14ac:dyDescent="0.35">
      <c r="M37" s="96"/>
    </row>
    <row r="39" spans="2:18" x14ac:dyDescent="0.35">
      <c r="L39" s="95"/>
      <c r="M39" s="95"/>
    </row>
    <row r="40" spans="2:18" x14ac:dyDescent="0.35">
      <c r="M40" s="95"/>
      <c r="N40" s="95"/>
      <c r="O40" s="95"/>
    </row>
  </sheetData>
  <sheetProtection algorithmName="SHA-512" hashValue="v0YDoS06zJ05jMYwxAMJkavzuDAJ5Kf9kVUFW5RGkWgVaauIHGc9s2rKZBblDNRojabDljWAKrgPGv+248/qyw==" saltValue="ZqOpC6/vk6wLUKehR+UFdw==" spinCount="100000" sheet="1" objects="1" scenarios="1" selectLockedCells="1"/>
  <dataConsolidate/>
  <mergeCells count="17">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 ref="L4:N4"/>
  </mergeCells>
  <conditionalFormatting sqref="R14">
    <cfRule type="containsText" dxfId="352" priority="1703" operator="containsText" text="Error">
      <formula>NOT(ISERROR(SEARCH("Error",R14)))</formula>
    </cfRule>
  </conditionalFormatting>
  <conditionalFormatting sqref="D13:E35">
    <cfRule type="containsBlanks" dxfId="351" priority="1701">
      <formula>LEN(TRIM(D13))=0</formula>
    </cfRule>
  </conditionalFormatting>
  <conditionalFormatting sqref="O4:Q4">
    <cfRule type="cellIs" dxfId="350" priority="1449" operator="equal">
      <formula>"EXCEEDING 80% OF TOTAL TRAVEL COSTS"</formula>
    </cfRule>
  </conditionalFormatting>
  <conditionalFormatting sqref="H13 K13">
    <cfRule type="expression" dxfId="349" priority="1441">
      <formula>ISNUMBER(H13)=FALSE</formula>
    </cfRule>
  </conditionalFormatting>
  <conditionalFormatting sqref="F13:K13">
    <cfRule type="containsBlanks" dxfId="348" priority="366">
      <formula>LEN(TRIM(F13))=0</formula>
    </cfRule>
  </conditionalFormatting>
  <conditionalFormatting sqref="B13:C13">
    <cfRule type="containsBlanks" dxfId="347" priority="1433">
      <formula>LEN(TRIM(B13))=0</formula>
    </cfRule>
  </conditionalFormatting>
  <conditionalFormatting sqref="B14:C14">
    <cfRule type="containsBlanks" dxfId="346" priority="1432">
      <formula>LEN(TRIM(B14))=0</formula>
    </cfRule>
  </conditionalFormatting>
  <conditionalFormatting sqref="K13">
    <cfRule type="cellIs" dxfId="345" priority="361" operator="lessThan">
      <formula>0</formula>
    </cfRule>
    <cfRule type="cellIs" dxfId="344" priority="1446" operator="equal">
      <formula>0</formula>
    </cfRule>
  </conditionalFormatting>
  <conditionalFormatting sqref="H13">
    <cfRule type="cellIs" dxfId="343" priority="1437" operator="lessThanOrEqual">
      <formula>0</formula>
    </cfRule>
  </conditionalFormatting>
  <conditionalFormatting sqref="H14 K14">
    <cfRule type="expression" dxfId="342" priority="359">
      <formula>ISNUMBER(H14)=FALSE</formula>
    </cfRule>
  </conditionalFormatting>
  <conditionalFormatting sqref="F14:K14">
    <cfRule type="containsBlanks" dxfId="341" priority="357">
      <formula>LEN(TRIM(F14))=0</formula>
    </cfRule>
  </conditionalFormatting>
  <conditionalFormatting sqref="K14">
    <cfRule type="cellIs" dxfId="340" priority="356" operator="lessThan">
      <formula>0</formula>
    </cfRule>
    <cfRule type="cellIs" dxfId="339" priority="360" operator="equal">
      <formula>0</formula>
    </cfRule>
  </conditionalFormatting>
  <conditionalFormatting sqref="H14">
    <cfRule type="cellIs" dxfId="338" priority="358" operator="lessThanOrEqual">
      <formula>0</formula>
    </cfRule>
  </conditionalFormatting>
  <conditionalFormatting sqref="M14">
    <cfRule type="expression" dxfId="337" priority="339">
      <formula>AND(M14=0,L14&lt;&gt;"")</formula>
    </cfRule>
  </conditionalFormatting>
  <conditionalFormatting sqref="L14">
    <cfRule type="expression" dxfId="336" priority="341">
      <formula>AND(L14="",M14&gt;0)</formula>
    </cfRule>
  </conditionalFormatting>
  <conditionalFormatting sqref="L14:M14">
    <cfRule type="cellIs" dxfId="335" priority="342" operator="equal">
      <formula>0</formula>
    </cfRule>
  </conditionalFormatting>
  <conditionalFormatting sqref="M13">
    <cfRule type="expression" dxfId="334" priority="331">
      <formula>AND(M13=0,L13&lt;&gt;"")</formula>
    </cfRule>
  </conditionalFormatting>
  <conditionalFormatting sqref="L13">
    <cfRule type="expression" dxfId="333" priority="332">
      <formula>AND(L13="",M13&gt;0)</formula>
    </cfRule>
  </conditionalFormatting>
  <conditionalFormatting sqref="L13:M13">
    <cfRule type="cellIs" dxfId="332" priority="333" operator="equal">
      <formula>0</formula>
    </cfRule>
  </conditionalFormatting>
  <conditionalFormatting sqref="N14">
    <cfRule type="expression" dxfId="331" priority="319">
      <formula>ISNUMBER(N14)=FALSE</formula>
    </cfRule>
  </conditionalFormatting>
  <conditionalFormatting sqref="R13">
    <cfRule type="containsText" dxfId="330" priority="306" operator="containsText" text="Error">
      <formula>NOT(ISERROR(SEARCH("Error",R13)))</formula>
    </cfRule>
  </conditionalFormatting>
  <conditionalFormatting sqref="N13">
    <cfRule type="expression" dxfId="329" priority="305">
      <formula>ISNUMBER(N13)=FALSE</formula>
    </cfRule>
  </conditionalFormatting>
  <conditionalFormatting sqref="H15 K15">
    <cfRule type="expression" dxfId="328" priority="241">
      <formula>ISNUMBER(H15)=FALSE</formula>
    </cfRule>
  </conditionalFormatting>
  <conditionalFormatting sqref="F15:K15">
    <cfRule type="containsBlanks" dxfId="327" priority="238">
      <formula>LEN(TRIM(F15))=0</formula>
    </cfRule>
  </conditionalFormatting>
  <conditionalFormatting sqref="B15:C15">
    <cfRule type="containsBlanks" dxfId="326" priority="239">
      <formula>LEN(TRIM(B15))=0</formula>
    </cfRule>
  </conditionalFormatting>
  <conditionalFormatting sqref="K15">
    <cfRule type="cellIs" dxfId="325" priority="237" operator="lessThan">
      <formula>0</formula>
    </cfRule>
    <cfRule type="cellIs" dxfId="324" priority="242" operator="equal">
      <formula>0</formula>
    </cfRule>
  </conditionalFormatting>
  <conditionalFormatting sqref="H15">
    <cfRule type="cellIs" dxfId="323" priority="240" operator="lessThanOrEqual">
      <formula>0</formula>
    </cfRule>
  </conditionalFormatting>
  <conditionalFormatting sqref="M15">
    <cfRule type="expression" dxfId="322" priority="234">
      <formula>AND(M15=0,L15&lt;&gt;"")</formula>
    </cfRule>
  </conditionalFormatting>
  <conditionalFormatting sqref="L15">
    <cfRule type="expression" dxfId="321" priority="235">
      <formula>AND(L15="",M15&gt;0)</formula>
    </cfRule>
  </conditionalFormatting>
  <conditionalFormatting sqref="L15:M15">
    <cfRule type="cellIs" dxfId="320" priority="236" operator="equal">
      <formula>0</formula>
    </cfRule>
  </conditionalFormatting>
  <conditionalFormatting sqref="R15">
    <cfRule type="containsText" dxfId="319" priority="233" operator="containsText" text="Error">
      <formula>NOT(ISERROR(SEARCH("Error",R15)))</formula>
    </cfRule>
  </conditionalFormatting>
  <conditionalFormatting sqref="N15">
    <cfRule type="expression" dxfId="318" priority="232">
      <formula>ISNUMBER(N15)=FALSE</formula>
    </cfRule>
  </conditionalFormatting>
  <conditionalFormatting sqref="H16 K16">
    <cfRule type="expression" dxfId="317" priority="230">
      <formula>ISNUMBER(H16)=FALSE</formula>
    </cfRule>
  </conditionalFormatting>
  <conditionalFormatting sqref="F16:K16">
    <cfRule type="containsBlanks" dxfId="316" priority="227">
      <formula>LEN(TRIM(F16))=0</formula>
    </cfRule>
  </conditionalFormatting>
  <conditionalFormatting sqref="B16:C16">
    <cfRule type="containsBlanks" dxfId="315" priority="228">
      <formula>LEN(TRIM(B16))=0</formula>
    </cfRule>
  </conditionalFormatting>
  <conditionalFormatting sqref="K16">
    <cfRule type="cellIs" dxfId="314" priority="226" operator="lessThan">
      <formula>0</formula>
    </cfRule>
    <cfRule type="cellIs" dxfId="313" priority="231" operator="equal">
      <formula>0</formula>
    </cfRule>
  </conditionalFormatting>
  <conditionalFormatting sqref="H16">
    <cfRule type="cellIs" dxfId="312" priority="229" operator="lessThanOrEqual">
      <formula>0</formula>
    </cfRule>
  </conditionalFormatting>
  <conditionalFormatting sqref="M16">
    <cfRule type="expression" dxfId="311" priority="223">
      <formula>AND(M16=0,L16&lt;&gt;"")</formula>
    </cfRule>
  </conditionalFormatting>
  <conditionalFormatting sqref="L16">
    <cfRule type="expression" dxfId="310" priority="224">
      <formula>AND(L16="",M16&gt;0)</formula>
    </cfRule>
  </conditionalFormatting>
  <conditionalFormatting sqref="L16:M16">
    <cfRule type="cellIs" dxfId="309" priority="225" operator="equal">
      <formula>0</formula>
    </cfRule>
  </conditionalFormatting>
  <conditionalFormatting sqref="R16">
    <cfRule type="containsText" dxfId="308" priority="222" operator="containsText" text="Error">
      <formula>NOT(ISERROR(SEARCH("Error",R16)))</formula>
    </cfRule>
  </conditionalFormatting>
  <conditionalFormatting sqref="N16">
    <cfRule type="expression" dxfId="307" priority="221">
      <formula>ISNUMBER(N16)=FALSE</formula>
    </cfRule>
  </conditionalFormatting>
  <conditionalFormatting sqref="H17 K17">
    <cfRule type="expression" dxfId="306" priority="208">
      <formula>ISNUMBER(H17)=FALSE</formula>
    </cfRule>
  </conditionalFormatting>
  <conditionalFormatting sqref="F17:K17">
    <cfRule type="containsBlanks" dxfId="305" priority="205">
      <formula>LEN(TRIM(F17))=0</formula>
    </cfRule>
  </conditionalFormatting>
  <conditionalFormatting sqref="B17:C17">
    <cfRule type="containsBlanks" dxfId="304" priority="206">
      <formula>LEN(TRIM(B17))=0</formula>
    </cfRule>
  </conditionalFormatting>
  <conditionalFormatting sqref="K17">
    <cfRule type="cellIs" dxfId="303" priority="204" operator="lessThan">
      <formula>0</formula>
    </cfRule>
    <cfRule type="cellIs" dxfId="302" priority="209" operator="equal">
      <formula>0</formula>
    </cfRule>
  </conditionalFormatting>
  <conditionalFormatting sqref="H17">
    <cfRule type="cellIs" dxfId="301" priority="207" operator="lessThanOrEqual">
      <formula>0</formula>
    </cfRule>
  </conditionalFormatting>
  <conditionalFormatting sqref="M17">
    <cfRule type="expression" dxfId="300" priority="201">
      <formula>AND(M17=0,L17&lt;&gt;"")</formula>
    </cfRule>
  </conditionalFormatting>
  <conditionalFormatting sqref="L17">
    <cfRule type="expression" dxfId="299" priority="202">
      <formula>AND(L17="",M17&gt;0)</formula>
    </cfRule>
  </conditionalFormatting>
  <conditionalFormatting sqref="L17:M17">
    <cfRule type="cellIs" dxfId="298" priority="203" operator="equal">
      <formula>0</formula>
    </cfRule>
  </conditionalFormatting>
  <conditionalFormatting sqref="R17">
    <cfRule type="containsText" dxfId="297" priority="200" operator="containsText" text="Error">
      <formula>NOT(ISERROR(SEARCH("Error",R17)))</formula>
    </cfRule>
  </conditionalFormatting>
  <conditionalFormatting sqref="N17">
    <cfRule type="expression" dxfId="296" priority="199">
      <formula>ISNUMBER(N17)=FALSE</formula>
    </cfRule>
  </conditionalFormatting>
  <conditionalFormatting sqref="H18 K18">
    <cfRule type="expression" dxfId="295" priority="197">
      <formula>ISNUMBER(H18)=FALSE</formula>
    </cfRule>
  </conditionalFormatting>
  <conditionalFormatting sqref="F18:K18">
    <cfRule type="containsBlanks" dxfId="294" priority="194">
      <formula>LEN(TRIM(F18))=0</formula>
    </cfRule>
  </conditionalFormatting>
  <conditionalFormatting sqref="B18:C18">
    <cfRule type="containsBlanks" dxfId="293" priority="195">
      <formula>LEN(TRIM(B18))=0</formula>
    </cfRule>
  </conditionalFormatting>
  <conditionalFormatting sqref="K18">
    <cfRule type="cellIs" dxfId="292" priority="193" operator="lessThan">
      <formula>0</formula>
    </cfRule>
    <cfRule type="cellIs" dxfId="291" priority="198" operator="equal">
      <formula>0</formula>
    </cfRule>
  </conditionalFormatting>
  <conditionalFormatting sqref="H18">
    <cfRule type="cellIs" dxfId="290" priority="196" operator="lessThanOrEqual">
      <formula>0</formula>
    </cfRule>
  </conditionalFormatting>
  <conditionalFormatting sqref="M18">
    <cfRule type="expression" dxfId="289" priority="190">
      <formula>AND(M18=0,L18&lt;&gt;"")</formula>
    </cfRule>
  </conditionalFormatting>
  <conditionalFormatting sqref="L18">
    <cfRule type="expression" dxfId="288" priority="191">
      <formula>AND(L18="",M18&gt;0)</formula>
    </cfRule>
  </conditionalFormatting>
  <conditionalFormatting sqref="L18:M18">
    <cfRule type="cellIs" dxfId="287" priority="192" operator="equal">
      <formula>0</formula>
    </cfRule>
  </conditionalFormatting>
  <conditionalFormatting sqref="R18">
    <cfRule type="containsText" dxfId="286" priority="189" operator="containsText" text="Error">
      <formula>NOT(ISERROR(SEARCH("Error",R18)))</formula>
    </cfRule>
  </conditionalFormatting>
  <conditionalFormatting sqref="N18">
    <cfRule type="expression" dxfId="285" priority="188">
      <formula>ISNUMBER(N18)=FALSE</formula>
    </cfRule>
  </conditionalFormatting>
  <conditionalFormatting sqref="H19 K19">
    <cfRule type="expression" dxfId="284" priority="186">
      <formula>ISNUMBER(H19)=FALSE</formula>
    </cfRule>
  </conditionalFormatting>
  <conditionalFormatting sqref="F19:K19">
    <cfRule type="containsBlanks" dxfId="283" priority="183">
      <formula>LEN(TRIM(F19))=0</formula>
    </cfRule>
  </conditionalFormatting>
  <conditionalFormatting sqref="B19:C19">
    <cfRule type="containsBlanks" dxfId="282" priority="184">
      <formula>LEN(TRIM(B19))=0</formula>
    </cfRule>
  </conditionalFormatting>
  <conditionalFormatting sqref="K19">
    <cfRule type="cellIs" dxfId="281" priority="182" operator="lessThan">
      <formula>0</formula>
    </cfRule>
    <cfRule type="cellIs" dxfId="280" priority="187" operator="equal">
      <formula>0</formula>
    </cfRule>
  </conditionalFormatting>
  <conditionalFormatting sqref="H19">
    <cfRule type="cellIs" dxfId="279" priority="185" operator="lessThanOrEqual">
      <formula>0</formula>
    </cfRule>
  </conditionalFormatting>
  <conditionalFormatting sqref="M19">
    <cfRule type="expression" dxfId="278" priority="179">
      <formula>AND(M19=0,L19&lt;&gt;"")</formula>
    </cfRule>
  </conditionalFormatting>
  <conditionalFormatting sqref="L19">
    <cfRule type="expression" dxfId="277" priority="180">
      <formula>AND(L19="",M19&gt;0)</formula>
    </cfRule>
  </conditionalFormatting>
  <conditionalFormatting sqref="L19:M19">
    <cfRule type="cellIs" dxfId="276" priority="181" operator="equal">
      <formula>0</formula>
    </cfRule>
  </conditionalFormatting>
  <conditionalFormatting sqref="R19">
    <cfRule type="containsText" dxfId="275" priority="178" operator="containsText" text="Error">
      <formula>NOT(ISERROR(SEARCH("Error",R19)))</formula>
    </cfRule>
  </conditionalFormatting>
  <conditionalFormatting sqref="N19">
    <cfRule type="expression" dxfId="274" priority="177">
      <formula>ISNUMBER(N19)=FALSE</formula>
    </cfRule>
  </conditionalFormatting>
  <conditionalFormatting sqref="H20 K20">
    <cfRule type="expression" dxfId="273" priority="175">
      <formula>ISNUMBER(H20)=FALSE</formula>
    </cfRule>
  </conditionalFormatting>
  <conditionalFormatting sqref="F20:K20">
    <cfRule type="containsBlanks" dxfId="272" priority="172">
      <formula>LEN(TRIM(F20))=0</formula>
    </cfRule>
  </conditionalFormatting>
  <conditionalFormatting sqref="B20:C20">
    <cfRule type="containsBlanks" dxfId="271" priority="173">
      <formula>LEN(TRIM(B20))=0</formula>
    </cfRule>
  </conditionalFormatting>
  <conditionalFormatting sqref="K20">
    <cfRule type="cellIs" dxfId="270" priority="171" operator="lessThan">
      <formula>0</formula>
    </cfRule>
    <cfRule type="cellIs" dxfId="269" priority="176" operator="equal">
      <formula>0</formula>
    </cfRule>
  </conditionalFormatting>
  <conditionalFormatting sqref="H20">
    <cfRule type="cellIs" dxfId="268" priority="174" operator="lessThanOrEqual">
      <formula>0</formula>
    </cfRule>
  </conditionalFormatting>
  <conditionalFormatting sqref="M20">
    <cfRule type="expression" dxfId="267" priority="168">
      <formula>AND(M20=0,L20&lt;&gt;"")</formula>
    </cfRule>
  </conditionalFormatting>
  <conditionalFormatting sqref="L20">
    <cfRule type="expression" dxfId="266" priority="169">
      <formula>AND(L20="",M20&gt;0)</formula>
    </cfRule>
  </conditionalFormatting>
  <conditionalFormatting sqref="L20:M20">
    <cfRule type="cellIs" dxfId="265" priority="170" operator="equal">
      <formula>0</formula>
    </cfRule>
  </conditionalFormatting>
  <conditionalFormatting sqref="R20">
    <cfRule type="containsText" dxfId="264" priority="167" operator="containsText" text="Error">
      <formula>NOT(ISERROR(SEARCH("Error",R20)))</formula>
    </cfRule>
  </conditionalFormatting>
  <conditionalFormatting sqref="N20">
    <cfRule type="expression" dxfId="263" priority="166">
      <formula>ISNUMBER(N20)=FALSE</formula>
    </cfRule>
  </conditionalFormatting>
  <conditionalFormatting sqref="H21 K21">
    <cfRule type="expression" dxfId="262" priority="164">
      <formula>ISNUMBER(H21)=FALSE</formula>
    </cfRule>
  </conditionalFormatting>
  <conditionalFormatting sqref="F21:K21">
    <cfRule type="containsBlanks" dxfId="261" priority="161">
      <formula>LEN(TRIM(F21))=0</formula>
    </cfRule>
  </conditionalFormatting>
  <conditionalFormatting sqref="B21:C21">
    <cfRule type="containsBlanks" dxfId="260" priority="162">
      <formula>LEN(TRIM(B21))=0</formula>
    </cfRule>
  </conditionalFormatting>
  <conditionalFormatting sqref="K21">
    <cfRule type="cellIs" dxfId="259" priority="160" operator="lessThan">
      <formula>0</formula>
    </cfRule>
    <cfRule type="cellIs" dxfId="258" priority="165" operator="equal">
      <formula>0</formula>
    </cfRule>
  </conditionalFormatting>
  <conditionalFormatting sqref="H21">
    <cfRule type="cellIs" dxfId="257" priority="163" operator="lessThanOrEqual">
      <formula>0</formula>
    </cfRule>
  </conditionalFormatting>
  <conditionalFormatting sqref="M21">
    <cfRule type="expression" dxfId="256" priority="157">
      <formula>AND(M21=0,L21&lt;&gt;"")</formula>
    </cfRule>
  </conditionalFormatting>
  <conditionalFormatting sqref="L21">
    <cfRule type="expression" dxfId="255" priority="158">
      <formula>AND(L21="",M21&gt;0)</formula>
    </cfRule>
  </conditionalFormatting>
  <conditionalFormatting sqref="L21:M21">
    <cfRule type="cellIs" dxfId="254" priority="159" operator="equal">
      <formula>0</formula>
    </cfRule>
  </conditionalFormatting>
  <conditionalFormatting sqref="R21">
    <cfRule type="containsText" dxfId="253" priority="156" operator="containsText" text="Error">
      <formula>NOT(ISERROR(SEARCH("Error",R21)))</formula>
    </cfRule>
  </conditionalFormatting>
  <conditionalFormatting sqref="N21">
    <cfRule type="expression" dxfId="252" priority="155">
      <formula>ISNUMBER(N21)=FALSE</formula>
    </cfRule>
  </conditionalFormatting>
  <conditionalFormatting sqref="H22 K22">
    <cfRule type="expression" dxfId="251" priority="153">
      <formula>ISNUMBER(H22)=FALSE</formula>
    </cfRule>
  </conditionalFormatting>
  <conditionalFormatting sqref="F22:K22">
    <cfRule type="containsBlanks" dxfId="250" priority="150">
      <formula>LEN(TRIM(F22))=0</formula>
    </cfRule>
  </conditionalFormatting>
  <conditionalFormatting sqref="B22:C22">
    <cfRule type="containsBlanks" dxfId="249" priority="151">
      <formula>LEN(TRIM(B22))=0</formula>
    </cfRule>
  </conditionalFormatting>
  <conditionalFormatting sqref="K22">
    <cfRule type="cellIs" dxfId="248" priority="149" operator="lessThan">
      <formula>0</formula>
    </cfRule>
    <cfRule type="cellIs" dxfId="247" priority="154" operator="equal">
      <formula>0</formula>
    </cfRule>
  </conditionalFormatting>
  <conditionalFormatting sqref="H22">
    <cfRule type="cellIs" dxfId="246" priority="152" operator="lessThanOrEqual">
      <formula>0</formula>
    </cfRule>
  </conditionalFormatting>
  <conditionalFormatting sqref="M22">
    <cfRule type="expression" dxfId="245" priority="146">
      <formula>AND(M22=0,L22&lt;&gt;"")</formula>
    </cfRule>
  </conditionalFormatting>
  <conditionalFormatting sqref="L22">
    <cfRule type="expression" dxfId="244" priority="147">
      <formula>AND(L22="",M22&gt;0)</formula>
    </cfRule>
  </conditionalFormatting>
  <conditionalFormatting sqref="L22:M22">
    <cfRule type="cellIs" dxfId="243" priority="148" operator="equal">
      <formula>0</formula>
    </cfRule>
  </conditionalFormatting>
  <conditionalFormatting sqref="R22">
    <cfRule type="containsText" dxfId="242" priority="145" operator="containsText" text="Error">
      <formula>NOT(ISERROR(SEARCH("Error",R22)))</formula>
    </cfRule>
  </conditionalFormatting>
  <conditionalFormatting sqref="N22">
    <cfRule type="expression" dxfId="241" priority="144">
      <formula>ISNUMBER(N22)=FALSE</formula>
    </cfRule>
  </conditionalFormatting>
  <conditionalFormatting sqref="H23 K23">
    <cfRule type="expression" dxfId="240" priority="142">
      <formula>ISNUMBER(H23)=FALSE</formula>
    </cfRule>
  </conditionalFormatting>
  <conditionalFormatting sqref="F23:K23">
    <cfRule type="containsBlanks" dxfId="239" priority="139">
      <formula>LEN(TRIM(F23))=0</formula>
    </cfRule>
  </conditionalFormatting>
  <conditionalFormatting sqref="B23:C23">
    <cfRule type="containsBlanks" dxfId="238" priority="140">
      <formula>LEN(TRIM(B23))=0</formula>
    </cfRule>
  </conditionalFormatting>
  <conditionalFormatting sqref="K23">
    <cfRule type="cellIs" dxfId="237" priority="138" operator="lessThan">
      <formula>0</formula>
    </cfRule>
    <cfRule type="cellIs" dxfId="236" priority="143" operator="equal">
      <formula>0</formula>
    </cfRule>
  </conditionalFormatting>
  <conditionalFormatting sqref="H23">
    <cfRule type="cellIs" dxfId="235" priority="141" operator="lessThanOrEqual">
      <formula>0</formula>
    </cfRule>
  </conditionalFormatting>
  <conditionalFormatting sqref="M23">
    <cfRule type="expression" dxfId="234" priority="135">
      <formula>AND(M23=0,L23&lt;&gt;"")</formula>
    </cfRule>
  </conditionalFormatting>
  <conditionalFormatting sqref="L23">
    <cfRule type="expression" dxfId="233" priority="136">
      <formula>AND(L23="",M23&gt;0)</formula>
    </cfRule>
  </conditionalFormatting>
  <conditionalFormatting sqref="L23:M23">
    <cfRule type="cellIs" dxfId="232" priority="137" operator="equal">
      <formula>0</formula>
    </cfRule>
  </conditionalFormatting>
  <conditionalFormatting sqref="R23">
    <cfRule type="containsText" dxfId="231" priority="134" operator="containsText" text="Error">
      <formula>NOT(ISERROR(SEARCH("Error",R23)))</formula>
    </cfRule>
  </conditionalFormatting>
  <conditionalFormatting sqref="N23">
    <cfRule type="expression" dxfId="230" priority="133">
      <formula>ISNUMBER(N23)=FALSE</formula>
    </cfRule>
  </conditionalFormatting>
  <conditionalFormatting sqref="H24 K24">
    <cfRule type="expression" dxfId="229" priority="131">
      <formula>ISNUMBER(H24)=FALSE</formula>
    </cfRule>
  </conditionalFormatting>
  <conditionalFormatting sqref="F24:K24">
    <cfRule type="containsBlanks" dxfId="228" priority="128">
      <formula>LEN(TRIM(F24))=0</formula>
    </cfRule>
  </conditionalFormatting>
  <conditionalFormatting sqref="B24:C24">
    <cfRule type="containsBlanks" dxfId="227" priority="129">
      <formula>LEN(TRIM(B24))=0</formula>
    </cfRule>
  </conditionalFormatting>
  <conditionalFormatting sqref="K24">
    <cfRule type="cellIs" dxfId="226" priority="127" operator="lessThan">
      <formula>0</formula>
    </cfRule>
    <cfRule type="cellIs" dxfId="225" priority="132" operator="equal">
      <formula>0</formula>
    </cfRule>
  </conditionalFormatting>
  <conditionalFormatting sqref="H24">
    <cfRule type="cellIs" dxfId="224" priority="130" operator="lessThanOrEqual">
      <formula>0</formula>
    </cfRule>
  </conditionalFormatting>
  <conditionalFormatting sqref="M24">
    <cfRule type="expression" dxfId="223" priority="124">
      <formula>AND(M24=0,L24&lt;&gt;"")</formula>
    </cfRule>
  </conditionalFormatting>
  <conditionalFormatting sqref="L24">
    <cfRule type="expression" dxfId="222" priority="125">
      <formula>AND(L24="",M24&gt;0)</formula>
    </cfRule>
  </conditionalFormatting>
  <conditionalFormatting sqref="L24:M24">
    <cfRule type="cellIs" dxfId="221" priority="126" operator="equal">
      <formula>0</formula>
    </cfRule>
  </conditionalFormatting>
  <conditionalFormatting sqref="R24">
    <cfRule type="containsText" dxfId="220" priority="123" operator="containsText" text="Error">
      <formula>NOT(ISERROR(SEARCH("Error",R24)))</formula>
    </cfRule>
  </conditionalFormatting>
  <conditionalFormatting sqref="N24">
    <cfRule type="expression" dxfId="219" priority="122">
      <formula>ISNUMBER(N24)=FALSE</formula>
    </cfRule>
  </conditionalFormatting>
  <conditionalFormatting sqref="H25 K25">
    <cfRule type="expression" dxfId="218" priority="120">
      <formula>ISNUMBER(H25)=FALSE</formula>
    </cfRule>
  </conditionalFormatting>
  <conditionalFormatting sqref="F25:K25">
    <cfRule type="containsBlanks" dxfId="217" priority="117">
      <formula>LEN(TRIM(F25))=0</formula>
    </cfRule>
  </conditionalFormatting>
  <conditionalFormatting sqref="B25:C25">
    <cfRule type="containsBlanks" dxfId="216" priority="118">
      <formula>LEN(TRIM(B25))=0</formula>
    </cfRule>
  </conditionalFormatting>
  <conditionalFormatting sqref="K25">
    <cfRule type="cellIs" dxfId="215" priority="116" operator="lessThan">
      <formula>0</formula>
    </cfRule>
    <cfRule type="cellIs" dxfId="214" priority="121" operator="equal">
      <formula>0</formula>
    </cfRule>
  </conditionalFormatting>
  <conditionalFormatting sqref="H25">
    <cfRule type="cellIs" dxfId="213" priority="119" operator="lessThanOrEqual">
      <formula>0</formula>
    </cfRule>
  </conditionalFormatting>
  <conditionalFormatting sqref="M25">
    <cfRule type="expression" dxfId="212" priority="113">
      <formula>AND(M25=0,L25&lt;&gt;"")</formula>
    </cfRule>
  </conditionalFormatting>
  <conditionalFormatting sqref="L25">
    <cfRule type="expression" dxfId="211" priority="114">
      <formula>AND(L25="",M25&gt;0)</formula>
    </cfRule>
  </conditionalFormatting>
  <conditionalFormatting sqref="L25:M25">
    <cfRule type="cellIs" dxfId="210" priority="115" operator="equal">
      <formula>0</formula>
    </cfRule>
  </conditionalFormatting>
  <conditionalFormatting sqref="R25">
    <cfRule type="containsText" dxfId="209" priority="112" operator="containsText" text="Error">
      <formula>NOT(ISERROR(SEARCH("Error",R25)))</formula>
    </cfRule>
  </conditionalFormatting>
  <conditionalFormatting sqref="N25">
    <cfRule type="expression" dxfId="208" priority="111">
      <formula>ISNUMBER(N25)=FALSE</formula>
    </cfRule>
  </conditionalFormatting>
  <conditionalFormatting sqref="H26 K26">
    <cfRule type="expression" dxfId="207" priority="109">
      <formula>ISNUMBER(H26)=FALSE</formula>
    </cfRule>
  </conditionalFormatting>
  <conditionalFormatting sqref="F26:K26">
    <cfRule type="containsBlanks" dxfId="206" priority="106">
      <formula>LEN(TRIM(F26))=0</formula>
    </cfRule>
  </conditionalFormatting>
  <conditionalFormatting sqref="B26:C26">
    <cfRule type="containsBlanks" dxfId="205" priority="107">
      <formula>LEN(TRIM(B26))=0</formula>
    </cfRule>
  </conditionalFormatting>
  <conditionalFormatting sqref="K26">
    <cfRule type="cellIs" dxfId="204" priority="105" operator="lessThan">
      <formula>0</formula>
    </cfRule>
    <cfRule type="cellIs" dxfId="203" priority="110" operator="equal">
      <formula>0</formula>
    </cfRule>
  </conditionalFormatting>
  <conditionalFormatting sqref="H26">
    <cfRule type="cellIs" dxfId="202" priority="108" operator="lessThanOrEqual">
      <formula>0</formula>
    </cfRule>
  </conditionalFormatting>
  <conditionalFormatting sqref="M26">
    <cfRule type="expression" dxfId="201" priority="102">
      <formula>AND(M26=0,L26&lt;&gt;"")</formula>
    </cfRule>
  </conditionalFormatting>
  <conditionalFormatting sqref="L26">
    <cfRule type="expression" dxfId="200" priority="103">
      <formula>AND(L26="",M26&gt;0)</formula>
    </cfRule>
  </conditionalFormatting>
  <conditionalFormatting sqref="L26:M26">
    <cfRule type="cellIs" dxfId="199" priority="104" operator="equal">
      <formula>0</formula>
    </cfRule>
  </conditionalFormatting>
  <conditionalFormatting sqref="R26">
    <cfRule type="containsText" dxfId="198" priority="101" operator="containsText" text="Error">
      <formula>NOT(ISERROR(SEARCH("Error",R26)))</formula>
    </cfRule>
  </conditionalFormatting>
  <conditionalFormatting sqref="N26">
    <cfRule type="expression" dxfId="197" priority="100">
      <formula>ISNUMBER(N26)=FALSE</formula>
    </cfRule>
  </conditionalFormatting>
  <conditionalFormatting sqref="H27 K27">
    <cfRule type="expression" dxfId="196" priority="98">
      <formula>ISNUMBER(H27)=FALSE</formula>
    </cfRule>
  </conditionalFormatting>
  <conditionalFormatting sqref="F27:K27">
    <cfRule type="containsBlanks" dxfId="195" priority="95">
      <formula>LEN(TRIM(F27))=0</formula>
    </cfRule>
  </conditionalFormatting>
  <conditionalFormatting sqref="B27:C27">
    <cfRule type="containsBlanks" dxfId="194" priority="96">
      <formula>LEN(TRIM(B27))=0</formula>
    </cfRule>
  </conditionalFormatting>
  <conditionalFormatting sqref="K27">
    <cfRule type="cellIs" dxfId="193" priority="94" operator="lessThan">
      <formula>0</formula>
    </cfRule>
    <cfRule type="cellIs" dxfId="192" priority="99" operator="equal">
      <formula>0</formula>
    </cfRule>
  </conditionalFormatting>
  <conditionalFormatting sqref="H27">
    <cfRule type="cellIs" dxfId="191" priority="97" operator="lessThanOrEqual">
      <formula>0</formula>
    </cfRule>
  </conditionalFormatting>
  <conditionalFormatting sqref="M27">
    <cfRule type="expression" dxfId="190" priority="91">
      <formula>AND(M27=0,L27&lt;&gt;"")</formula>
    </cfRule>
  </conditionalFormatting>
  <conditionalFormatting sqref="L27">
    <cfRule type="expression" dxfId="189" priority="92">
      <formula>AND(L27="",M27&gt;0)</formula>
    </cfRule>
  </conditionalFormatting>
  <conditionalFormatting sqref="L27:M27">
    <cfRule type="cellIs" dxfId="188" priority="93" operator="equal">
      <formula>0</formula>
    </cfRule>
  </conditionalFormatting>
  <conditionalFormatting sqref="R27">
    <cfRule type="containsText" dxfId="187" priority="90" operator="containsText" text="Error">
      <formula>NOT(ISERROR(SEARCH("Error",R27)))</formula>
    </cfRule>
  </conditionalFormatting>
  <conditionalFormatting sqref="N27">
    <cfRule type="expression" dxfId="186" priority="89">
      <formula>ISNUMBER(N27)=FALSE</formula>
    </cfRule>
  </conditionalFormatting>
  <conditionalFormatting sqref="H28 K28">
    <cfRule type="expression" dxfId="185" priority="87">
      <formula>ISNUMBER(H28)=FALSE</formula>
    </cfRule>
  </conditionalFormatting>
  <conditionalFormatting sqref="F28:K28">
    <cfRule type="containsBlanks" dxfId="184" priority="84">
      <formula>LEN(TRIM(F28))=0</formula>
    </cfRule>
  </conditionalFormatting>
  <conditionalFormatting sqref="B28:C28">
    <cfRule type="containsBlanks" dxfId="183" priority="85">
      <formula>LEN(TRIM(B28))=0</formula>
    </cfRule>
  </conditionalFormatting>
  <conditionalFormatting sqref="K28">
    <cfRule type="cellIs" dxfId="182" priority="83" operator="lessThan">
      <formula>0</formula>
    </cfRule>
    <cfRule type="cellIs" dxfId="181" priority="88" operator="equal">
      <formula>0</formula>
    </cfRule>
  </conditionalFormatting>
  <conditionalFormatting sqref="H28">
    <cfRule type="cellIs" dxfId="180" priority="86" operator="lessThanOrEqual">
      <formula>0</formula>
    </cfRule>
  </conditionalFormatting>
  <conditionalFormatting sqref="M28">
    <cfRule type="expression" dxfId="179" priority="80">
      <formula>AND(M28=0,L28&lt;&gt;"")</formula>
    </cfRule>
  </conditionalFormatting>
  <conditionalFormatting sqref="L28">
    <cfRule type="expression" dxfId="178" priority="81">
      <formula>AND(L28="",M28&gt;0)</formula>
    </cfRule>
  </conditionalFormatting>
  <conditionalFormatting sqref="L28:M28">
    <cfRule type="cellIs" dxfId="177" priority="82" operator="equal">
      <formula>0</formula>
    </cfRule>
  </conditionalFormatting>
  <conditionalFormatting sqref="R28">
    <cfRule type="containsText" dxfId="176" priority="79" operator="containsText" text="Error">
      <formula>NOT(ISERROR(SEARCH("Error",R28)))</formula>
    </cfRule>
  </conditionalFormatting>
  <conditionalFormatting sqref="N28">
    <cfRule type="expression" dxfId="175" priority="78">
      <formula>ISNUMBER(N28)=FALSE</formula>
    </cfRule>
  </conditionalFormatting>
  <conditionalFormatting sqref="H29 K29">
    <cfRule type="expression" dxfId="174" priority="76">
      <formula>ISNUMBER(H29)=FALSE</formula>
    </cfRule>
  </conditionalFormatting>
  <conditionalFormatting sqref="F29:K29">
    <cfRule type="containsBlanks" dxfId="173" priority="73">
      <formula>LEN(TRIM(F29))=0</formula>
    </cfRule>
  </conditionalFormatting>
  <conditionalFormatting sqref="B29:C29">
    <cfRule type="containsBlanks" dxfId="172" priority="74">
      <formula>LEN(TRIM(B29))=0</formula>
    </cfRule>
  </conditionalFormatting>
  <conditionalFormatting sqref="K29">
    <cfRule type="cellIs" dxfId="171" priority="72" operator="lessThan">
      <formula>0</formula>
    </cfRule>
    <cfRule type="cellIs" dxfId="170" priority="77" operator="equal">
      <formula>0</formula>
    </cfRule>
  </conditionalFormatting>
  <conditionalFormatting sqref="H29">
    <cfRule type="cellIs" dxfId="169" priority="75" operator="lessThanOrEqual">
      <formula>0</formula>
    </cfRule>
  </conditionalFormatting>
  <conditionalFormatting sqref="M29">
    <cfRule type="expression" dxfId="168" priority="69">
      <formula>AND(M29=0,L29&lt;&gt;"")</formula>
    </cfRule>
  </conditionalFormatting>
  <conditionalFormatting sqref="L29">
    <cfRule type="expression" dxfId="167" priority="70">
      <formula>AND(L29="",M29&gt;0)</formula>
    </cfRule>
  </conditionalFormatting>
  <conditionalFormatting sqref="L29:M29">
    <cfRule type="cellIs" dxfId="166" priority="71" operator="equal">
      <formula>0</formula>
    </cfRule>
  </conditionalFormatting>
  <conditionalFormatting sqref="R29">
    <cfRule type="containsText" dxfId="165" priority="68" operator="containsText" text="Error">
      <formula>NOT(ISERROR(SEARCH("Error",R29)))</formula>
    </cfRule>
  </conditionalFormatting>
  <conditionalFormatting sqref="N29">
    <cfRule type="expression" dxfId="164" priority="67">
      <formula>ISNUMBER(N29)=FALSE</formula>
    </cfRule>
  </conditionalFormatting>
  <conditionalFormatting sqref="H30 K30">
    <cfRule type="expression" dxfId="163" priority="65">
      <formula>ISNUMBER(H30)=FALSE</formula>
    </cfRule>
  </conditionalFormatting>
  <conditionalFormatting sqref="F30:K30">
    <cfRule type="containsBlanks" dxfId="162" priority="62">
      <formula>LEN(TRIM(F30))=0</formula>
    </cfRule>
  </conditionalFormatting>
  <conditionalFormatting sqref="B30:C30">
    <cfRule type="containsBlanks" dxfId="161" priority="63">
      <formula>LEN(TRIM(B30))=0</formula>
    </cfRule>
  </conditionalFormatting>
  <conditionalFormatting sqref="K30">
    <cfRule type="cellIs" dxfId="160" priority="61" operator="lessThan">
      <formula>0</formula>
    </cfRule>
    <cfRule type="cellIs" dxfId="159" priority="66" operator="equal">
      <formula>0</formula>
    </cfRule>
  </conditionalFormatting>
  <conditionalFormatting sqref="H30">
    <cfRule type="cellIs" dxfId="158" priority="64" operator="lessThanOrEqual">
      <formula>0</formula>
    </cfRule>
  </conditionalFormatting>
  <conditionalFormatting sqref="M30">
    <cfRule type="expression" dxfId="157" priority="58">
      <formula>AND(M30=0,L30&lt;&gt;"")</formula>
    </cfRule>
  </conditionalFormatting>
  <conditionalFormatting sqref="L30">
    <cfRule type="expression" dxfId="156" priority="59">
      <formula>AND(L30="",M30&gt;0)</formula>
    </cfRule>
  </conditionalFormatting>
  <conditionalFormatting sqref="L30:M30">
    <cfRule type="cellIs" dxfId="155" priority="60" operator="equal">
      <formula>0</formula>
    </cfRule>
  </conditionalFormatting>
  <conditionalFormatting sqref="R30">
    <cfRule type="containsText" dxfId="154" priority="57" operator="containsText" text="Error">
      <formula>NOT(ISERROR(SEARCH("Error",R30)))</formula>
    </cfRule>
  </conditionalFormatting>
  <conditionalFormatting sqref="N30">
    <cfRule type="expression" dxfId="153" priority="56">
      <formula>ISNUMBER(N30)=FALSE</formula>
    </cfRule>
  </conditionalFormatting>
  <conditionalFormatting sqref="H31 K31">
    <cfRule type="expression" dxfId="152" priority="54">
      <formula>ISNUMBER(H31)=FALSE</formula>
    </cfRule>
  </conditionalFormatting>
  <conditionalFormatting sqref="F31:K31">
    <cfRule type="containsBlanks" dxfId="151" priority="51">
      <formula>LEN(TRIM(F31))=0</formula>
    </cfRule>
  </conditionalFormatting>
  <conditionalFormatting sqref="B31:C31">
    <cfRule type="containsBlanks" dxfId="150" priority="52">
      <formula>LEN(TRIM(B31))=0</formula>
    </cfRule>
  </conditionalFormatting>
  <conditionalFormatting sqref="K31">
    <cfRule type="cellIs" dxfId="149" priority="50" operator="lessThan">
      <formula>0</formula>
    </cfRule>
    <cfRule type="cellIs" dxfId="148" priority="55" operator="equal">
      <formula>0</formula>
    </cfRule>
  </conditionalFormatting>
  <conditionalFormatting sqref="H31">
    <cfRule type="cellIs" dxfId="147" priority="53" operator="lessThanOrEqual">
      <formula>0</formula>
    </cfRule>
  </conditionalFormatting>
  <conditionalFormatting sqref="M31">
    <cfRule type="expression" dxfId="146" priority="47">
      <formula>AND(M31=0,L31&lt;&gt;"")</formula>
    </cfRule>
  </conditionalFormatting>
  <conditionalFormatting sqref="L31">
    <cfRule type="expression" dxfId="145" priority="48">
      <formula>AND(L31="",M31&gt;0)</formula>
    </cfRule>
  </conditionalFormatting>
  <conditionalFormatting sqref="L31:M31">
    <cfRule type="cellIs" dxfId="144" priority="49" operator="equal">
      <formula>0</formula>
    </cfRule>
  </conditionalFormatting>
  <conditionalFormatting sqref="R31">
    <cfRule type="containsText" dxfId="143" priority="46" operator="containsText" text="Error">
      <formula>NOT(ISERROR(SEARCH("Error",R31)))</formula>
    </cfRule>
  </conditionalFormatting>
  <conditionalFormatting sqref="N31">
    <cfRule type="expression" dxfId="142" priority="45">
      <formula>ISNUMBER(N31)=FALSE</formula>
    </cfRule>
  </conditionalFormatting>
  <conditionalFormatting sqref="H32 K32">
    <cfRule type="expression" dxfId="141" priority="43">
      <formula>ISNUMBER(H32)=FALSE</formula>
    </cfRule>
  </conditionalFormatting>
  <conditionalFormatting sqref="F32:K32">
    <cfRule type="containsBlanks" dxfId="140" priority="40">
      <formula>LEN(TRIM(F32))=0</formula>
    </cfRule>
  </conditionalFormatting>
  <conditionalFormatting sqref="B32:C32">
    <cfRule type="containsBlanks" dxfId="139" priority="41">
      <formula>LEN(TRIM(B32))=0</formula>
    </cfRule>
  </conditionalFormatting>
  <conditionalFormatting sqref="K32">
    <cfRule type="cellIs" dxfId="138" priority="39" operator="lessThan">
      <formula>0</formula>
    </cfRule>
    <cfRule type="cellIs" dxfId="137" priority="44" operator="equal">
      <formula>0</formula>
    </cfRule>
  </conditionalFormatting>
  <conditionalFormatting sqref="H32">
    <cfRule type="cellIs" dxfId="136" priority="42" operator="lessThanOrEqual">
      <formula>0</formula>
    </cfRule>
  </conditionalFormatting>
  <conditionalFormatting sqref="M32">
    <cfRule type="expression" dxfId="135" priority="36">
      <formula>AND(M32=0,L32&lt;&gt;"")</formula>
    </cfRule>
  </conditionalFormatting>
  <conditionalFormatting sqref="L32">
    <cfRule type="expression" dxfId="134" priority="37">
      <formula>AND(L32="",M32&gt;0)</formula>
    </cfRule>
  </conditionalFormatting>
  <conditionalFormatting sqref="L32:M32">
    <cfRule type="cellIs" dxfId="133" priority="38" operator="equal">
      <formula>0</formula>
    </cfRule>
  </conditionalFormatting>
  <conditionalFormatting sqref="R32">
    <cfRule type="containsText" dxfId="132" priority="35" operator="containsText" text="Error">
      <formula>NOT(ISERROR(SEARCH("Error",R32)))</formula>
    </cfRule>
  </conditionalFormatting>
  <conditionalFormatting sqref="N32">
    <cfRule type="expression" dxfId="131" priority="34">
      <formula>ISNUMBER(N32)=FALSE</formula>
    </cfRule>
  </conditionalFormatting>
  <conditionalFormatting sqref="H33 K33">
    <cfRule type="expression" dxfId="130" priority="32">
      <formula>ISNUMBER(H33)=FALSE</formula>
    </cfRule>
  </conditionalFormatting>
  <conditionalFormatting sqref="F33:K33">
    <cfRule type="containsBlanks" dxfId="129" priority="29">
      <formula>LEN(TRIM(F33))=0</formula>
    </cfRule>
  </conditionalFormatting>
  <conditionalFormatting sqref="B33:C33">
    <cfRule type="containsBlanks" dxfId="128" priority="30">
      <formula>LEN(TRIM(B33))=0</formula>
    </cfRule>
  </conditionalFormatting>
  <conditionalFormatting sqref="K33">
    <cfRule type="cellIs" dxfId="127" priority="28" operator="lessThan">
      <formula>0</formula>
    </cfRule>
    <cfRule type="cellIs" dxfId="126" priority="33" operator="equal">
      <formula>0</formula>
    </cfRule>
  </conditionalFormatting>
  <conditionalFormatting sqref="H33">
    <cfRule type="cellIs" dxfId="125" priority="31" operator="lessThanOrEqual">
      <formula>0</formula>
    </cfRule>
  </conditionalFormatting>
  <conditionalFormatting sqref="M33">
    <cfRule type="expression" dxfId="124" priority="25">
      <formula>AND(M33=0,L33&lt;&gt;"")</formula>
    </cfRule>
  </conditionalFormatting>
  <conditionalFormatting sqref="L33">
    <cfRule type="expression" dxfId="123" priority="26">
      <formula>AND(L33="",M33&gt;0)</formula>
    </cfRule>
  </conditionalFormatting>
  <conditionalFormatting sqref="L33:M33">
    <cfRule type="cellIs" dxfId="122" priority="27" operator="equal">
      <formula>0</formula>
    </cfRule>
  </conditionalFormatting>
  <conditionalFormatting sqref="R33">
    <cfRule type="containsText" dxfId="121" priority="24" operator="containsText" text="Error">
      <formula>NOT(ISERROR(SEARCH("Error",R33)))</formula>
    </cfRule>
  </conditionalFormatting>
  <conditionalFormatting sqref="N33">
    <cfRule type="expression" dxfId="120" priority="23">
      <formula>ISNUMBER(N33)=FALSE</formula>
    </cfRule>
  </conditionalFormatting>
  <conditionalFormatting sqref="H34 K34">
    <cfRule type="expression" dxfId="119" priority="21">
      <formula>ISNUMBER(H34)=FALSE</formula>
    </cfRule>
  </conditionalFormatting>
  <conditionalFormatting sqref="F34:K34">
    <cfRule type="containsBlanks" dxfId="118" priority="18">
      <formula>LEN(TRIM(F34))=0</formula>
    </cfRule>
  </conditionalFormatting>
  <conditionalFormatting sqref="B34:C34">
    <cfRule type="containsBlanks" dxfId="117" priority="19">
      <formula>LEN(TRIM(B34))=0</formula>
    </cfRule>
  </conditionalFormatting>
  <conditionalFormatting sqref="K34">
    <cfRule type="cellIs" dxfId="116" priority="17" operator="lessThan">
      <formula>0</formula>
    </cfRule>
    <cfRule type="cellIs" dxfId="115" priority="22" operator="equal">
      <formula>0</formula>
    </cfRule>
  </conditionalFormatting>
  <conditionalFormatting sqref="H34">
    <cfRule type="cellIs" dxfId="114" priority="20" operator="lessThanOrEqual">
      <formula>0</formula>
    </cfRule>
  </conditionalFormatting>
  <conditionalFormatting sqref="M34">
    <cfRule type="expression" dxfId="113" priority="14">
      <formula>AND(M34=0,L34&lt;&gt;"")</formula>
    </cfRule>
  </conditionalFormatting>
  <conditionalFormatting sqref="L34">
    <cfRule type="expression" dxfId="112" priority="15">
      <formula>AND(L34="",M34&gt;0)</formula>
    </cfRule>
  </conditionalFormatting>
  <conditionalFormatting sqref="L34:M34">
    <cfRule type="cellIs" dxfId="111" priority="16" operator="equal">
      <formula>0</formula>
    </cfRule>
  </conditionalFormatting>
  <conditionalFormatting sqref="R34">
    <cfRule type="containsText" dxfId="110" priority="13" operator="containsText" text="Error">
      <formula>NOT(ISERROR(SEARCH("Error",R34)))</formula>
    </cfRule>
  </conditionalFormatting>
  <conditionalFormatting sqref="N34">
    <cfRule type="expression" dxfId="109" priority="12">
      <formula>ISNUMBER(N34)=FALSE</formula>
    </cfRule>
  </conditionalFormatting>
  <conditionalFormatting sqref="H35 K35">
    <cfRule type="expression" dxfId="108" priority="10">
      <formula>ISNUMBER(H35)=FALSE</formula>
    </cfRule>
  </conditionalFormatting>
  <conditionalFormatting sqref="F35:K35">
    <cfRule type="containsBlanks" dxfId="107" priority="7">
      <formula>LEN(TRIM(F35))=0</formula>
    </cfRule>
  </conditionalFormatting>
  <conditionalFormatting sqref="B35:C35">
    <cfRule type="containsBlanks" dxfId="106" priority="8">
      <formula>LEN(TRIM(B35))=0</formula>
    </cfRule>
  </conditionalFormatting>
  <conditionalFormatting sqref="K35">
    <cfRule type="cellIs" dxfId="105" priority="6" operator="lessThan">
      <formula>0</formula>
    </cfRule>
    <cfRule type="cellIs" dxfId="104" priority="11" operator="equal">
      <formula>0</formula>
    </cfRule>
  </conditionalFormatting>
  <conditionalFormatting sqref="H35">
    <cfRule type="cellIs" dxfId="103" priority="9" operator="lessThanOrEqual">
      <formula>0</formula>
    </cfRule>
  </conditionalFormatting>
  <conditionalFormatting sqref="M35">
    <cfRule type="expression" dxfId="102" priority="3">
      <formula>AND(M35=0,L35&lt;&gt;"")</formula>
    </cfRule>
  </conditionalFormatting>
  <conditionalFormatting sqref="L35">
    <cfRule type="expression" dxfId="101" priority="4">
      <formula>AND(L35="",M35&gt;0)</formula>
    </cfRule>
  </conditionalFormatting>
  <conditionalFormatting sqref="L35:M35">
    <cfRule type="cellIs" dxfId="100" priority="5" operator="equal">
      <formula>0</formula>
    </cfRule>
  </conditionalFormatting>
  <conditionalFormatting sqref="R35">
    <cfRule type="containsText" dxfId="99" priority="2" operator="containsText" text="Error">
      <formula>NOT(ISERROR(SEARCH("Error",R35)))</formula>
    </cfRule>
  </conditionalFormatting>
  <conditionalFormatting sqref="N35">
    <cfRule type="expression" dxfId="98" priority="1">
      <formula>ISNUMBER(N35)=FALSE</formula>
    </cfRule>
  </conditionalFormatting>
  <dataValidations xWindow="983" yWindow="555" count="11">
    <dataValidation allowBlank="1" showInputMessage="1" errorTitle="Warning: Max Ceilings exceeded" error="Please be aware that this exceed the &quot;Ceilings&quot; for the maximum amounts for staff cost by country" sqref="N13:O35" xr:uid="{00000000-0002-0000-0300-000000000000}"/>
    <dataValidation allowBlank="1" showInputMessage="1" showErrorMessage="1" error="Please encode City of Destination" prompt="Please encode City of Destination" sqref="I13:I35" xr:uid="{00000000-0002-0000-0300-000001000000}"/>
    <dataValidation type="whole" allowBlank="1" showInputMessage="1" showErrorMessage="1" error="Format error (whole number only)" prompt="Please encode number (whole number only)" sqref="H13:H35" xr:uid="{00000000-0002-0000-0300-000002000000}">
      <formula1>0</formula1>
      <formula2>50000</formula2>
    </dataValidation>
    <dataValidation allowBlank="1" showInputMessage="1" showErrorMessage="1" error="Please encode City of Departure" prompt="Please encode City of Departure" sqref="F13:F35"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5" xr:uid="{00000000-0002-0000-0300-000004000000}">
      <formula1>0</formula1>
      <formula2>90</formula2>
    </dataValidation>
    <dataValidation type="list" allowBlank="1" showInputMessage="1" showErrorMessage="1" error="Click arrow to select Category" prompt="Click arrow to select Category" sqref="G13:G35" xr:uid="{00000000-0002-0000-0300-000005000000}">
      <formula1>Category2</formula1>
    </dataValidation>
    <dataValidation type="list" allowBlank="1" showInputMessage="1" showErrorMessage="1" error="Click arrow to select Work Package" prompt="Click arrow to select Work Package" sqref="B13:B35" xr:uid="{00000000-0002-0000-0300-000006000000}">
      <formula1>WorkPackage</formula1>
    </dataValidation>
    <dataValidation type="list" allowBlank="1" showInputMessage="1" showErrorMessage="1" error="Click arrow to select Distance" prompt="Click arrow to select Distance" sqref="J13:J35" xr:uid="{00000000-0002-0000-0300-000007000000}">
      <formula1>TravelBands</formula1>
    </dataValidation>
    <dataValidation type="list" allowBlank="1" showInputMessage="1" showErrorMessage="1" error="Click arrow to select Partner N°" prompt="Click arrow to select Partner N°" sqref="C13:C35" xr:uid="{00000000-0002-0000-0300-000008000000}">
      <formula1>PartnerN°</formula1>
    </dataValidation>
    <dataValidation type="list" allowBlank="1" showInputMessage="1" showErrorMessage="1" errorTitle="Select correct option" error="Please use the drop down menu to select the correct option" sqref="L13:L35" xr:uid="{00000000-0002-0000-0300-000009000000}">
      <formula1>Exceptional_costs</formula1>
    </dataValidation>
    <dataValidation type="decimal" operator="greaterThanOrEqual" allowBlank="1" showInputMessage="1" showErrorMessage="1" errorTitle="Warning: Cost must be number" error="Please enter a numeric value." sqref="M13:M35"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23"/>
  <sheetViews>
    <sheetView showGridLines="0" zoomScale="70" zoomScaleNormal="70" zoomScaleSheetLayoutView="55" workbookViewId="0">
      <pane ySplit="13" topLeftCell="A14" activePane="bottomLeft" state="frozen"/>
      <selection pane="bottomLeft" activeCell="C15" sqref="C1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90"/>
      <c r="C1" s="190"/>
      <c r="D1" s="190"/>
      <c r="E1" s="190"/>
      <c r="F1" s="190"/>
      <c r="G1" s="190"/>
      <c r="H1" s="190"/>
      <c r="I1" s="190"/>
    </row>
    <row r="2" spans="2:9" s="20" customFormat="1" ht="39.9" customHeight="1" x14ac:dyDescent="0.35">
      <c r="B2" s="168" t="s">
        <v>185</v>
      </c>
      <c r="C2" s="168"/>
      <c r="D2" s="168"/>
      <c r="E2" s="168"/>
      <c r="F2" s="168"/>
      <c r="G2" s="168"/>
      <c r="H2" s="168"/>
      <c r="I2" s="168"/>
    </row>
    <row r="3" spans="2:9" s="20" customFormat="1" ht="8.1" customHeight="1" x14ac:dyDescent="0.35">
      <c r="B3" s="158"/>
      <c r="C3" s="159"/>
      <c r="D3" s="159"/>
      <c r="E3" s="159"/>
      <c r="F3" s="159"/>
      <c r="G3" s="159"/>
      <c r="H3" s="159"/>
      <c r="I3" s="160"/>
    </row>
    <row r="4" spans="2:9" s="20" customFormat="1" ht="9.9" customHeight="1" x14ac:dyDescent="0.35">
      <c r="B4" s="193" t="s">
        <v>184</v>
      </c>
      <c r="C4" s="196">
        <f>SUM(H:H)</f>
        <v>233000</v>
      </c>
      <c r="D4" s="197"/>
      <c r="E4" s="154"/>
      <c r="F4" s="155"/>
      <c r="G4" s="155"/>
      <c r="H4" s="155"/>
      <c r="I4" s="156"/>
    </row>
    <row r="5" spans="2:9" s="20" customFormat="1" ht="9.9" customHeight="1" x14ac:dyDescent="0.35">
      <c r="B5" s="194"/>
      <c r="C5" s="198"/>
      <c r="D5" s="199"/>
      <c r="E5" s="154"/>
      <c r="F5" s="155"/>
      <c r="G5" s="155"/>
      <c r="H5" s="155"/>
      <c r="I5" s="156"/>
    </row>
    <row r="6" spans="2:9" s="20" customFormat="1" ht="9.9" customHeight="1" x14ac:dyDescent="0.35">
      <c r="B6" s="194"/>
      <c r="C6" s="198"/>
      <c r="D6" s="199"/>
      <c r="E6" s="154"/>
      <c r="F6" s="155"/>
      <c r="G6" s="155"/>
      <c r="H6" s="155"/>
      <c r="I6" s="156"/>
    </row>
    <row r="7" spans="2:9" s="20" customFormat="1" ht="9.9" customHeight="1" x14ac:dyDescent="0.35">
      <c r="B7" s="194"/>
      <c r="C7" s="198"/>
      <c r="D7" s="199"/>
      <c r="E7" s="154"/>
      <c r="F7" s="155"/>
      <c r="G7" s="155"/>
      <c r="H7" s="155"/>
      <c r="I7" s="156"/>
    </row>
    <row r="8" spans="2:9" s="20" customFormat="1" ht="9.9" customHeight="1" x14ac:dyDescent="0.35">
      <c r="B8" s="194"/>
      <c r="C8" s="198"/>
      <c r="D8" s="199"/>
      <c r="E8" s="154"/>
      <c r="F8" s="155"/>
      <c r="G8" s="155"/>
      <c r="H8" s="155"/>
      <c r="I8" s="156"/>
    </row>
    <row r="9" spans="2:9" s="20" customFormat="1" ht="9.9" customHeight="1" x14ac:dyDescent="0.35">
      <c r="B9" s="195"/>
      <c r="C9" s="200"/>
      <c r="D9" s="201"/>
      <c r="E9" s="154"/>
      <c r="F9" s="155"/>
      <c r="G9" s="155"/>
      <c r="H9" s="155"/>
      <c r="I9" s="156"/>
    </row>
    <row r="10" spans="2:9" s="20" customFormat="1" ht="8.1" customHeight="1" x14ac:dyDescent="0.35">
      <c r="B10" s="150"/>
      <c r="C10" s="157"/>
      <c r="D10" s="157"/>
      <c r="E10" s="157"/>
      <c r="F10" s="157"/>
      <c r="G10" s="157"/>
      <c r="H10" s="157"/>
      <c r="I10" s="151"/>
    </row>
    <row r="11" spans="2:9" s="45" customFormat="1" ht="42" customHeight="1" x14ac:dyDescent="0.35">
      <c r="B11" s="140" t="s">
        <v>162</v>
      </c>
      <c r="C11" s="140" t="s">
        <v>147</v>
      </c>
      <c r="D11" s="140" t="s">
        <v>216</v>
      </c>
      <c r="E11" s="192" t="s">
        <v>217</v>
      </c>
      <c r="F11" s="142" t="s">
        <v>132</v>
      </c>
      <c r="G11" s="191" t="s">
        <v>165</v>
      </c>
      <c r="H11" s="191" t="s">
        <v>164</v>
      </c>
      <c r="I11" s="191" t="s">
        <v>218</v>
      </c>
    </row>
    <row r="12" spans="2:9" ht="23.85" customHeight="1" x14ac:dyDescent="0.35">
      <c r="B12" s="141"/>
      <c r="C12" s="141"/>
      <c r="D12" s="141"/>
      <c r="E12" s="142"/>
      <c r="F12" s="141"/>
      <c r="G12" s="141"/>
      <c r="H12" s="141"/>
      <c r="I12" s="141"/>
    </row>
    <row r="13" spans="2:9" s="34" customFormat="1" hidden="1" x14ac:dyDescent="0.3">
      <c r="B13" s="14"/>
      <c r="C13" s="19"/>
      <c r="D13" s="42" t="str">
        <f t="shared" ref="D13:D23" si="0">IFERROR(IF(VLOOKUP(C13,PartnerN°Ref,2,FALSE)=0,"",VLOOKUP(C13,PartnerN°Ref,2,FALSE)),"")</f>
        <v/>
      </c>
      <c r="E13" s="42" t="str">
        <f t="shared" ref="E13:E18" si="1">IFERROR(IF(OR(VLOOKUP(C13,PartnerN°Ref,4,FALSE)="Country not found",VLOOKUP(C13,PartnerN°Ref,3,FALSE)=0),"",VLOOKUP(C13,PartnerN°Ref,3,FALSE)),"")</f>
        <v/>
      </c>
      <c r="F13" s="18"/>
      <c r="G13" s="35">
        <v>0</v>
      </c>
      <c r="H13" s="36">
        <f t="shared" ref="H13:H23" si="2">IF(I13="Error",0,ROUND(G13,2))</f>
        <v>0</v>
      </c>
      <c r="I13" s="33" t="str">
        <f t="shared" ref="I13:I18" si="3">IF(OR(COUNTIF(WorkPackage,B13)=0,COUNTIF(PartnerN°,C13)=0,D13="",COUNTIF(CountryEligEquip,E13)=0,F13="",ISNUMBER(G13)=FALSE,IF(ISNUMBER(G13)=TRUE,G13=INT(G13*100)/100=FALSE)),"Error","")</f>
        <v>Error</v>
      </c>
    </row>
    <row r="14" spans="2:9" s="34" customFormat="1" x14ac:dyDescent="0.3">
      <c r="B14" s="14" t="s">
        <v>172</v>
      </c>
      <c r="C14" s="19" t="s">
        <v>109</v>
      </c>
      <c r="D14" s="42" t="str">
        <f t="shared" si="0"/>
        <v>KakoGod Team</v>
      </c>
      <c r="E14" s="42" t="str">
        <f t="shared" si="1"/>
        <v>Bosnia and Herzegovina</v>
      </c>
      <c r="F14" s="18" t="s">
        <v>394</v>
      </c>
      <c r="G14" s="35">
        <v>70000</v>
      </c>
      <c r="H14" s="36">
        <f t="shared" si="2"/>
        <v>70000</v>
      </c>
      <c r="I14" s="33" t="str">
        <f t="shared" si="3"/>
        <v/>
      </c>
    </row>
    <row r="15" spans="2:9" s="34" customFormat="1" x14ac:dyDescent="0.3">
      <c r="B15" s="14" t="s">
        <v>318</v>
      </c>
      <c r="C15" s="19" t="s">
        <v>109</v>
      </c>
      <c r="D15" s="42" t="str">
        <f t="shared" si="0"/>
        <v>KakoGod Team</v>
      </c>
      <c r="E15" s="42" t="str">
        <f t="shared" si="1"/>
        <v>Bosnia and Herzegovina</v>
      </c>
      <c r="F15" s="18" t="s">
        <v>395</v>
      </c>
      <c r="G15" s="35">
        <v>40000</v>
      </c>
      <c r="H15" s="36">
        <f t="shared" si="2"/>
        <v>40000</v>
      </c>
      <c r="I15" s="33" t="str">
        <f t="shared" si="3"/>
        <v/>
      </c>
    </row>
    <row r="16" spans="2:9" s="34" customFormat="1" x14ac:dyDescent="0.3">
      <c r="B16" s="14" t="s">
        <v>318</v>
      </c>
      <c r="C16" s="19" t="s">
        <v>109</v>
      </c>
      <c r="D16" s="42" t="str">
        <f t="shared" si="0"/>
        <v>KakoGod Team</v>
      </c>
      <c r="E16" s="42" t="str">
        <f t="shared" si="1"/>
        <v>Bosnia and Herzegovina</v>
      </c>
      <c r="F16" s="18" t="s">
        <v>396</v>
      </c>
      <c r="G16" s="35">
        <v>20000</v>
      </c>
      <c r="H16" s="36">
        <f t="shared" si="2"/>
        <v>20000</v>
      </c>
      <c r="I16" s="33" t="str">
        <f t="shared" si="3"/>
        <v/>
      </c>
    </row>
    <row r="17" spans="2:9" s="34" customFormat="1" x14ac:dyDescent="0.3">
      <c r="B17" s="14" t="s">
        <v>319</v>
      </c>
      <c r="C17" s="19" t="s">
        <v>109</v>
      </c>
      <c r="D17" s="42" t="str">
        <f t="shared" si="0"/>
        <v>KakoGod Team</v>
      </c>
      <c r="E17" s="42" t="str">
        <f t="shared" si="1"/>
        <v>Bosnia and Herzegovina</v>
      </c>
      <c r="F17" s="18" t="s">
        <v>413</v>
      </c>
      <c r="G17" s="35">
        <v>20000</v>
      </c>
      <c r="H17" s="36">
        <f t="shared" si="2"/>
        <v>20000</v>
      </c>
      <c r="I17" s="33" t="str">
        <f t="shared" si="3"/>
        <v/>
      </c>
    </row>
    <row r="18" spans="2:9" s="34" customFormat="1" x14ac:dyDescent="0.3">
      <c r="B18" s="14" t="s">
        <v>319</v>
      </c>
      <c r="C18" s="19" t="s">
        <v>109</v>
      </c>
      <c r="D18" s="42" t="str">
        <f t="shared" si="0"/>
        <v>KakoGod Team</v>
      </c>
      <c r="E18" s="42" t="str">
        <f t="shared" si="1"/>
        <v>Bosnia and Herzegovina</v>
      </c>
      <c r="F18" s="18" t="s">
        <v>397</v>
      </c>
      <c r="G18" s="35">
        <v>20000</v>
      </c>
      <c r="H18" s="36">
        <f t="shared" si="2"/>
        <v>20000</v>
      </c>
      <c r="I18" s="33" t="str">
        <f t="shared" si="3"/>
        <v/>
      </c>
    </row>
    <row r="19" spans="2:9" s="107" customFormat="1" x14ac:dyDescent="0.3">
      <c r="B19" s="102" t="s">
        <v>319</v>
      </c>
      <c r="C19" s="104" t="s">
        <v>109</v>
      </c>
      <c r="D19" s="112" t="str">
        <f t="shared" si="0"/>
        <v>KakoGod Team</v>
      </c>
      <c r="E19" s="112" t="str">
        <f t="shared" ref="E19" si="4">IFERROR(IF(OR(VLOOKUP(C19,PartnerN°Ref,4,FALSE)="Country not found",VLOOKUP(C19,PartnerN°Ref,3,FALSE)=0),"",VLOOKUP(C19,PartnerN°Ref,3,FALSE)),"")</f>
        <v>Bosnia and Herzegovina</v>
      </c>
      <c r="F19" s="103" t="s">
        <v>415</v>
      </c>
      <c r="G19" s="108">
        <v>15000</v>
      </c>
      <c r="H19" s="109">
        <f t="shared" si="2"/>
        <v>15000</v>
      </c>
      <c r="I19" s="106" t="str">
        <f t="shared" ref="I19" si="5">IF(OR(COUNTIF(WorkPackage,B19)=0,COUNTIF(PartnerN°,C19)=0,D19="",COUNTIF(CountryEligEquip,E19)=0,F19="",ISNUMBER(G19)=FALSE,IF(ISNUMBER(G19)=TRUE,G19=INT(G19*100)/100=FALSE)),"Error","")</f>
        <v/>
      </c>
    </row>
    <row r="20" spans="2:9" s="107" customFormat="1" x14ac:dyDescent="0.3">
      <c r="B20" s="102" t="s">
        <v>173</v>
      </c>
      <c r="C20" s="104" t="s">
        <v>109</v>
      </c>
      <c r="D20" s="112" t="str">
        <f t="shared" si="0"/>
        <v>KakoGod Team</v>
      </c>
      <c r="E20" s="112" t="str">
        <f t="shared" ref="E20:E23" si="6">IFERROR(IF(OR(VLOOKUP(C20,PartnerN°Ref,4,FALSE)="Country not found",VLOOKUP(C20,PartnerN°Ref,3,FALSE)=0),"",VLOOKUP(C20,PartnerN°Ref,3,FALSE)),"")</f>
        <v>Bosnia and Herzegovina</v>
      </c>
      <c r="F20" s="103" t="s">
        <v>414</v>
      </c>
      <c r="G20" s="108">
        <v>10000</v>
      </c>
      <c r="H20" s="109">
        <f t="shared" si="2"/>
        <v>10000</v>
      </c>
      <c r="I20" s="106" t="str">
        <f t="shared" ref="I20:I23" si="7">IF(OR(COUNTIF(WorkPackage,B20)=0,COUNTIF(PartnerN°,C20)=0,D20="",COUNTIF(CountryEligEquip,E20)=0,F20="",ISNUMBER(G20)=FALSE,IF(ISNUMBER(G20)=TRUE,G20=INT(G20*100)/100=FALSE)),"Error","")</f>
        <v/>
      </c>
    </row>
    <row r="21" spans="2:9" s="107" customFormat="1" x14ac:dyDescent="0.3">
      <c r="B21" s="102" t="s">
        <v>172</v>
      </c>
      <c r="C21" s="104" t="s">
        <v>109</v>
      </c>
      <c r="D21" s="112" t="str">
        <f t="shared" si="0"/>
        <v>KakoGod Team</v>
      </c>
      <c r="E21" s="112" t="str">
        <f t="shared" si="6"/>
        <v>Bosnia and Herzegovina</v>
      </c>
      <c r="F21" s="103" t="s">
        <v>416</v>
      </c>
      <c r="G21" s="108">
        <v>3000</v>
      </c>
      <c r="H21" s="109">
        <f t="shared" si="2"/>
        <v>3000</v>
      </c>
      <c r="I21" s="106" t="str">
        <f t="shared" si="7"/>
        <v/>
      </c>
    </row>
    <row r="22" spans="2:9" s="107" customFormat="1" x14ac:dyDescent="0.3">
      <c r="B22" s="102" t="s">
        <v>172</v>
      </c>
      <c r="C22" s="104" t="s">
        <v>109</v>
      </c>
      <c r="D22" s="112" t="str">
        <f t="shared" si="0"/>
        <v>KakoGod Team</v>
      </c>
      <c r="E22" s="112" t="str">
        <f t="shared" si="6"/>
        <v>Bosnia and Herzegovina</v>
      </c>
      <c r="F22" s="103" t="s">
        <v>417</v>
      </c>
      <c r="G22" s="108">
        <v>5000</v>
      </c>
      <c r="H22" s="109">
        <f t="shared" si="2"/>
        <v>5000</v>
      </c>
      <c r="I22" s="106" t="str">
        <f t="shared" si="7"/>
        <v/>
      </c>
    </row>
    <row r="23" spans="2:9" s="107" customFormat="1" x14ac:dyDescent="0.3">
      <c r="B23" s="102" t="s">
        <v>174</v>
      </c>
      <c r="C23" s="104" t="s">
        <v>109</v>
      </c>
      <c r="D23" s="112" t="str">
        <f t="shared" si="0"/>
        <v>KakoGod Team</v>
      </c>
      <c r="E23" s="112" t="str">
        <f t="shared" si="6"/>
        <v>Bosnia and Herzegovina</v>
      </c>
      <c r="F23" s="103" t="s">
        <v>418</v>
      </c>
      <c r="G23" s="108">
        <v>30000</v>
      </c>
      <c r="H23" s="109">
        <f t="shared" si="2"/>
        <v>30000</v>
      </c>
      <c r="I23" s="106" t="str">
        <f t="shared" si="7"/>
        <v/>
      </c>
    </row>
  </sheetData>
  <sheetProtection algorithmName="SHA-512" hashValue="Z/JzbsczyTj31DMbXHoVuDyT732IrfAVKLuiRgulZFNZobd8zk/sGk15rq8eJQc0j4zPfO7o1bgFnbKA2xtskQ==" saltValue="heWn4MUQD4kpkQldgle/DQ=="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23">
    <cfRule type="containsText" dxfId="97" priority="408" operator="containsText" text="Error">
      <formula>NOT(ISERROR(SEARCH("Error",I13)))</formula>
    </cfRule>
  </conditionalFormatting>
  <conditionalFormatting sqref="D13:E23">
    <cfRule type="containsBlanks" dxfId="96" priority="403">
      <formula>LEN(TRIM(D13))=0</formula>
    </cfRule>
  </conditionalFormatting>
  <conditionalFormatting sqref="E13">
    <cfRule type="expression" dxfId="95" priority="325">
      <formula>COUNTIF(CountryEligEquip,E13)=0</formula>
    </cfRule>
  </conditionalFormatting>
  <conditionalFormatting sqref="E14">
    <cfRule type="expression" dxfId="94" priority="326">
      <formula>COUNTIF(CountryEligEquip,E14)=0</formula>
    </cfRule>
  </conditionalFormatting>
  <conditionalFormatting sqref="G13">
    <cfRule type="cellIs" dxfId="93" priority="54" operator="lessThanOrEqual">
      <formula>0</formula>
    </cfRule>
  </conditionalFormatting>
  <conditionalFormatting sqref="F13:G13">
    <cfRule type="containsBlanks" dxfId="92" priority="51">
      <formula>LEN(TRIM(F13))=0</formula>
    </cfRule>
  </conditionalFormatting>
  <conditionalFormatting sqref="G14">
    <cfRule type="cellIs" dxfId="91" priority="50" operator="lessThanOrEqual">
      <formula>0</formula>
    </cfRule>
  </conditionalFormatting>
  <conditionalFormatting sqref="F14:G14">
    <cfRule type="containsBlanks" dxfId="90" priority="49">
      <formula>LEN(TRIM(F14))=0</formula>
    </cfRule>
  </conditionalFormatting>
  <conditionalFormatting sqref="B13:C13">
    <cfRule type="containsBlanks" dxfId="89" priority="48">
      <formula>LEN(TRIM(B13))=0</formula>
    </cfRule>
  </conditionalFormatting>
  <conditionalFormatting sqref="B14:C14">
    <cfRule type="containsBlanks" dxfId="88" priority="47">
      <formula>LEN(TRIM(B14))=0</formula>
    </cfRule>
  </conditionalFormatting>
  <conditionalFormatting sqref="E15">
    <cfRule type="expression" dxfId="87" priority="40">
      <formula>COUNTIF(CountryEligEquip,E15)=0</formula>
    </cfRule>
  </conditionalFormatting>
  <conditionalFormatting sqref="G15">
    <cfRule type="cellIs" dxfId="86" priority="39" operator="lessThanOrEqual">
      <formula>0</formula>
    </cfRule>
  </conditionalFormatting>
  <conditionalFormatting sqref="F15:G15">
    <cfRule type="containsBlanks" dxfId="85" priority="38">
      <formula>LEN(TRIM(F15))=0</formula>
    </cfRule>
  </conditionalFormatting>
  <conditionalFormatting sqref="B15:C15">
    <cfRule type="containsBlanks" dxfId="84" priority="37">
      <formula>LEN(TRIM(B15))=0</formula>
    </cfRule>
  </conditionalFormatting>
  <conditionalFormatting sqref="E16">
    <cfRule type="expression" dxfId="83" priority="36">
      <formula>COUNTIF(CountryEligEquip,E16)=0</formula>
    </cfRule>
  </conditionalFormatting>
  <conditionalFormatting sqref="G16">
    <cfRule type="cellIs" dxfId="82" priority="35" operator="lessThanOrEqual">
      <formula>0</formula>
    </cfRule>
  </conditionalFormatting>
  <conditionalFormatting sqref="F16:G16">
    <cfRule type="containsBlanks" dxfId="81" priority="34">
      <formula>LEN(TRIM(F16))=0</formula>
    </cfRule>
  </conditionalFormatting>
  <conditionalFormatting sqref="B16:C16">
    <cfRule type="containsBlanks" dxfId="80" priority="33">
      <formula>LEN(TRIM(B16))=0</formula>
    </cfRule>
  </conditionalFormatting>
  <conditionalFormatting sqref="E17">
    <cfRule type="expression" dxfId="79" priority="32">
      <formula>COUNTIF(CountryEligEquip,E17)=0</formula>
    </cfRule>
  </conditionalFormatting>
  <conditionalFormatting sqref="G17">
    <cfRule type="cellIs" dxfId="78" priority="31" operator="lessThanOrEqual">
      <formula>0</formula>
    </cfRule>
  </conditionalFormatting>
  <conditionalFormatting sqref="F17:G17">
    <cfRule type="containsBlanks" dxfId="77" priority="30">
      <formula>LEN(TRIM(F17))=0</formula>
    </cfRule>
  </conditionalFormatting>
  <conditionalFormatting sqref="B17:C17">
    <cfRule type="containsBlanks" dxfId="76" priority="29">
      <formula>LEN(TRIM(B17))=0</formula>
    </cfRule>
  </conditionalFormatting>
  <conditionalFormatting sqref="E18">
    <cfRule type="expression" dxfId="75" priority="28">
      <formula>COUNTIF(CountryEligEquip,E18)=0</formula>
    </cfRule>
  </conditionalFormatting>
  <conditionalFormatting sqref="G18">
    <cfRule type="cellIs" dxfId="74" priority="27" operator="lessThanOrEqual">
      <formula>0</formula>
    </cfRule>
  </conditionalFormatting>
  <conditionalFormatting sqref="F18:G18">
    <cfRule type="containsBlanks" dxfId="73" priority="26">
      <formula>LEN(TRIM(F18))=0</formula>
    </cfRule>
  </conditionalFormatting>
  <conditionalFormatting sqref="B18:C18">
    <cfRule type="containsBlanks" dxfId="72" priority="25">
      <formula>LEN(TRIM(B18))=0</formula>
    </cfRule>
  </conditionalFormatting>
  <conditionalFormatting sqref="E20">
    <cfRule type="expression" dxfId="71" priority="20">
      <formula>COUNTIF(CountryEligEquip,E20)=0</formula>
    </cfRule>
  </conditionalFormatting>
  <conditionalFormatting sqref="G20">
    <cfRule type="cellIs" dxfId="70" priority="19" operator="lessThanOrEqual">
      <formula>0</formula>
    </cfRule>
  </conditionalFormatting>
  <conditionalFormatting sqref="F20:G20">
    <cfRule type="containsBlanks" dxfId="69" priority="18">
      <formula>LEN(TRIM(F20))=0</formula>
    </cfRule>
  </conditionalFormatting>
  <conditionalFormatting sqref="B20:C20">
    <cfRule type="containsBlanks" dxfId="68" priority="17">
      <formula>LEN(TRIM(B20))=0</formula>
    </cfRule>
  </conditionalFormatting>
  <conditionalFormatting sqref="E19">
    <cfRule type="expression" dxfId="67" priority="16">
      <formula>COUNTIF(CountryEligEquip,E19)=0</formula>
    </cfRule>
  </conditionalFormatting>
  <conditionalFormatting sqref="G19">
    <cfRule type="cellIs" dxfId="66" priority="15" operator="lessThanOrEqual">
      <formula>0</formula>
    </cfRule>
  </conditionalFormatting>
  <conditionalFormatting sqref="F19:G19">
    <cfRule type="containsBlanks" dxfId="65" priority="14">
      <formula>LEN(TRIM(F19))=0</formula>
    </cfRule>
  </conditionalFormatting>
  <conditionalFormatting sqref="B19:C19">
    <cfRule type="containsBlanks" dxfId="64" priority="13">
      <formula>LEN(TRIM(B19))=0</formula>
    </cfRule>
  </conditionalFormatting>
  <conditionalFormatting sqref="E21">
    <cfRule type="expression" dxfId="63" priority="12">
      <formula>COUNTIF(CountryEligEquip,E21)=0</formula>
    </cfRule>
  </conditionalFormatting>
  <conditionalFormatting sqref="G21">
    <cfRule type="cellIs" dxfId="62" priority="11" operator="lessThanOrEqual">
      <formula>0</formula>
    </cfRule>
  </conditionalFormatting>
  <conditionalFormatting sqref="F21:G21">
    <cfRule type="containsBlanks" dxfId="61" priority="10">
      <formula>LEN(TRIM(F21))=0</formula>
    </cfRule>
  </conditionalFormatting>
  <conditionalFormatting sqref="B21:C21">
    <cfRule type="containsBlanks" dxfId="60" priority="9">
      <formula>LEN(TRIM(B21))=0</formula>
    </cfRule>
  </conditionalFormatting>
  <conditionalFormatting sqref="E22">
    <cfRule type="expression" dxfId="59" priority="8">
      <formula>COUNTIF(CountryEligEquip,E22)=0</formula>
    </cfRule>
  </conditionalFormatting>
  <conditionalFormatting sqref="G22">
    <cfRule type="cellIs" dxfId="58" priority="7" operator="lessThanOrEqual">
      <formula>0</formula>
    </cfRule>
  </conditionalFormatting>
  <conditionalFormatting sqref="F22:G22">
    <cfRule type="containsBlanks" dxfId="57" priority="6">
      <formula>LEN(TRIM(F22))=0</formula>
    </cfRule>
  </conditionalFormatting>
  <conditionalFormatting sqref="B22:C22">
    <cfRule type="containsBlanks" dxfId="56" priority="5">
      <formula>LEN(TRIM(B22))=0</formula>
    </cfRule>
  </conditionalFormatting>
  <conditionalFormatting sqref="E23">
    <cfRule type="expression" dxfId="55" priority="4">
      <formula>COUNTIF(CountryEligEquip,E23)=0</formula>
    </cfRule>
  </conditionalFormatting>
  <conditionalFormatting sqref="G23">
    <cfRule type="cellIs" dxfId="54" priority="3" operator="lessThanOrEqual">
      <formula>0</formula>
    </cfRule>
  </conditionalFormatting>
  <conditionalFormatting sqref="F23:G23">
    <cfRule type="containsBlanks" dxfId="53" priority="2">
      <formula>LEN(TRIM(F23))=0</formula>
    </cfRule>
  </conditionalFormatting>
  <conditionalFormatting sqref="B23:C23">
    <cfRule type="containsBlanks" dxfId="52" priority="1">
      <formula>LEN(TRIM(B23))=0</formula>
    </cfRule>
  </conditionalFormatting>
  <dataValidations count="4">
    <dataValidation type="custom" allowBlank="1" showInputMessage="1" showErrorMessage="1" error="Format error (2 decimals only)" prompt="Please encode amount (2 decimals only)" sqref="G13:G23" xr:uid="{00000000-0002-0000-0400-000000000000}">
      <formula1>G13=INT(G13*100)/100</formula1>
    </dataValidation>
    <dataValidation allowBlank="1" showInputMessage="1" showErrorMessage="1" error="Please encode Nature, type and specifications" prompt="Please encode Nature, type and specifications" sqref="F13:F23" xr:uid="{00000000-0002-0000-0400-000001000000}"/>
    <dataValidation type="list" allowBlank="1" showInputMessage="1" showErrorMessage="1" error="Click arrow to select Work Package" prompt="Click arrow to select Work Package" sqref="B13:B23" xr:uid="{00000000-0002-0000-0400-000002000000}">
      <formula1>WorkPackage</formula1>
    </dataValidation>
    <dataValidation type="list" allowBlank="1" showInputMessage="1" showErrorMessage="1" error="Click arrow to select Partner N°" prompt="Click arrow to select Partner N°" sqref="C13:C23"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6"/>
  <sheetViews>
    <sheetView showGridLines="0" zoomScale="70" zoomScaleNormal="70" zoomScaleSheetLayoutView="55" workbookViewId="0">
      <pane ySplit="13" topLeftCell="A14" activePane="bottomLeft" state="frozen"/>
      <selection pane="bottomLeft" activeCell="G16" sqref="G16"/>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90"/>
      <c r="C1" s="190"/>
      <c r="D1" s="190"/>
      <c r="E1" s="190"/>
      <c r="F1" s="190"/>
      <c r="G1" s="190"/>
      <c r="H1" s="190"/>
      <c r="I1" s="190"/>
    </row>
    <row r="2" spans="2:9" s="20" customFormat="1" ht="39.9" customHeight="1" x14ac:dyDescent="0.35">
      <c r="B2" s="168" t="s">
        <v>186</v>
      </c>
      <c r="C2" s="168"/>
      <c r="D2" s="168"/>
      <c r="E2" s="168"/>
      <c r="F2" s="168"/>
      <c r="G2" s="168"/>
      <c r="H2" s="168"/>
      <c r="I2" s="168"/>
    </row>
    <row r="3" spans="2:9" s="20" customFormat="1" ht="8.1" customHeight="1" x14ac:dyDescent="0.35">
      <c r="B3" s="158"/>
      <c r="C3" s="159"/>
      <c r="D3" s="159"/>
      <c r="E3" s="159"/>
      <c r="F3" s="159"/>
      <c r="G3" s="159"/>
      <c r="H3" s="159"/>
      <c r="I3" s="160"/>
    </row>
    <row r="4" spans="2:9" s="20" customFormat="1" ht="9.9" customHeight="1" x14ac:dyDescent="0.35">
      <c r="B4" s="193" t="s">
        <v>184</v>
      </c>
      <c r="C4" s="196">
        <f>SUM(H:H)</f>
        <v>80000</v>
      </c>
      <c r="D4" s="197"/>
      <c r="E4" s="154"/>
      <c r="F4" s="155"/>
      <c r="G4" s="155"/>
      <c r="H4" s="155"/>
      <c r="I4" s="156"/>
    </row>
    <row r="5" spans="2:9" s="20" customFormat="1" ht="9.9" customHeight="1" x14ac:dyDescent="0.35">
      <c r="B5" s="194"/>
      <c r="C5" s="198"/>
      <c r="D5" s="199"/>
      <c r="E5" s="154"/>
      <c r="F5" s="155"/>
      <c r="G5" s="155"/>
      <c r="H5" s="155"/>
      <c r="I5" s="156"/>
    </row>
    <row r="6" spans="2:9" s="20" customFormat="1" ht="9.9" customHeight="1" x14ac:dyDescent="0.35">
      <c r="B6" s="194"/>
      <c r="C6" s="198"/>
      <c r="D6" s="199"/>
      <c r="E6" s="154"/>
      <c r="F6" s="155"/>
      <c r="G6" s="155"/>
      <c r="H6" s="155"/>
      <c r="I6" s="156"/>
    </row>
    <row r="7" spans="2:9" s="20" customFormat="1" ht="9.9" customHeight="1" x14ac:dyDescent="0.35">
      <c r="B7" s="194"/>
      <c r="C7" s="198"/>
      <c r="D7" s="199"/>
      <c r="E7" s="154"/>
      <c r="F7" s="155"/>
      <c r="G7" s="155"/>
      <c r="H7" s="155"/>
      <c r="I7" s="156"/>
    </row>
    <row r="8" spans="2:9" s="20" customFormat="1" ht="9.9" customHeight="1" x14ac:dyDescent="0.35">
      <c r="B8" s="194"/>
      <c r="C8" s="198"/>
      <c r="D8" s="199"/>
      <c r="E8" s="154"/>
      <c r="F8" s="155"/>
      <c r="G8" s="155"/>
      <c r="H8" s="155"/>
      <c r="I8" s="156"/>
    </row>
    <row r="9" spans="2:9" s="20" customFormat="1" ht="9.9" customHeight="1" x14ac:dyDescent="0.35">
      <c r="B9" s="195"/>
      <c r="C9" s="200"/>
      <c r="D9" s="201"/>
      <c r="E9" s="154"/>
      <c r="F9" s="155"/>
      <c r="G9" s="155"/>
      <c r="H9" s="155"/>
      <c r="I9" s="156"/>
    </row>
    <row r="10" spans="2:9" s="20" customFormat="1" ht="8.1" customHeight="1" x14ac:dyDescent="0.35">
      <c r="B10" s="150"/>
      <c r="C10" s="157"/>
      <c r="D10" s="157"/>
      <c r="E10" s="157"/>
      <c r="F10" s="157"/>
      <c r="G10" s="157"/>
      <c r="H10" s="157"/>
      <c r="I10" s="151"/>
    </row>
    <row r="11" spans="2:9" s="45" customFormat="1" ht="42" customHeight="1" x14ac:dyDescent="0.35">
      <c r="B11" s="140" t="s">
        <v>162</v>
      </c>
      <c r="C11" s="140" t="s">
        <v>147</v>
      </c>
      <c r="D11" s="140" t="s">
        <v>216</v>
      </c>
      <c r="E11" s="140" t="s">
        <v>217</v>
      </c>
      <c r="F11" s="142" t="s">
        <v>132</v>
      </c>
      <c r="G11" s="191" t="s">
        <v>165</v>
      </c>
      <c r="H11" s="191" t="s">
        <v>164</v>
      </c>
      <c r="I11" s="191" t="s">
        <v>218</v>
      </c>
    </row>
    <row r="12" spans="2:9" ht="23.85" customHeight="1" x14ac:dyDescent="0.35">
      <c r="B12" s="141"/>
      <c r="C12" s="141"/>
      <c r="D12" s="141"/>
      <c r="E12" s="141"/>
      <c r="F12" s="141"/>
      <c r="G12" s="141"/>
      <c r="H12" s="141"/>
      <c r="I12" s="141"/>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t="s">
        <v>172</v>
      </c>
      <c r="C14" s="19" t="s">
        <v>20</v>
      </c>
      <c r="D14" s="42" t="str">
        <f>IFERROR(IF(VLOOKUP(C14,PartnerN°Ref,2,FALSE)=0,"",VLOOKUP(C14,PartnerN°Ref,2,FALSE)),"")</f>
        <v>PwC (PricewaterhouseCoopers)</v>
      </c>
      <c r="E14" s="42" t="str">
        <f>IFERROR(IF(OR(VLOOKUP(C14,PartnerN°Ref,4,FALSE)="Country not found",VLOOKUP(C14,PartnerN°Ref,3,FALSE)=0),"",VLOOKUP(C14,PartnerN°Ref,3,FALSE)),"")</f>
        <v>United Kingdom</v>
      </c>
      <c r="F14" s="18" t="s">
        <v>391</v>
      </c>
      <c r="G14" s="35">
        <v>30000</v>
      </c>
      <c r="H14" s="36">
        <f>IF(I14="Error",0,ROUND(G14,2))</f>
        <v>30000</v>
      </c>
      <c r="I14" s="33" t="str">
        <f>IF(OR(COUNTIF(WorkPackage,B14)=0,COUNTIF(PartnerN°,C14)=0,D14="",COUNTIF(CountryALL,E14)=0,F14="",ISNUMBER(G14)=FALSE,IF(ISNUMBER(G14)=TRUE,G14=INT(G14*100)/100=FALSE)),"Error","")</f>
        <v/>
      </c>
    </row>
    <row r="15" spans="2:9" s="34" customFormat="1" x14ac:dyDescent="0.3">
      <c r="B15" s="14" t="s">
        <v>319</v>
      </c>
      <c r="C15" s="19" t="s">
        <v>26</v>
      </c>
      <c r="D15" s="42" t="str">
        <f>IFERROR(IF(VLOOKUP(C15,PartnerN°Ref,2,FALSE)=0,"",VLOOKUP(C15,PartnerN°Ref,2,FALSE)),"")</f>
        <v>European Travel Commission</v>
      </c>
      <c r="E15" s="42" t="str">
        <f>IFERROR(IF(OR(VLOOKUP(C15,PartnerN°Ref,4,FALSE)="Country not found",VLOOKUP(C15,PartnerN°Ref,3,FALSE)=0),"",VLOOKUP(C15,PartnerN°Ref,3,FALSE)),"")</f>
        <v>Belgium</v>
      </c>
      <c r="F15" s="18" t="s">
        <v>392</v>
      </c>
      <c r="G15" s="35">
        <v>30000</v>
      </c>
      <c r="H15" s="36">
        <f>IF(I15="Error",0,ROUND(G15,2))</f>
        <v>30000</v>
      </c>
      <c r="I15" s="33" t="str">
        <f>IF(OR(COUNTIF(WorkPackage,B15)=0,COUNTIF(PartnerN°,C15)=0,D15="",COUNTIF(CountryALL,E15)=0,F15="",ISNUMBER(G15)=FALSE,IF(ISNUMBER(G15)=TRUE,G15=INT(G15*100)/100=FALSE)),"Error","")</f>
        <v/>
      </c>
    </row>
    <row r="16" spans="2:9" s="34" customFormat="1" x14ac:dyDescent="0.3">
      <c r="B16" s="14" t="s">
        <v>174</v>
      </c>
      <c r="C16" s="19" t="s">
        <v>22</v>
      </c>
      <c r="D16" s="42" t="str">
        <f>IFERROR(IF(VLOOKUP(C16,PartnerN°Ref,2,FALSE)=0,"",VLOOKUP(C16,PartnerN°Ref,2,FALSE)),"")</f>
        <v xml:space="preserve">UNESCO </v>
      </c>
      <c r="E16" s="42" t="str">
        <f>IFERROR(IF(OR(VLOOKUP(C16,PartnerN°Ref,4,FALSE)="Country not found",VLOOKUP(C16,PartnerN°Ref,3,FALSE)=0),"",VLOOKUP(C16,PartnerN°Ref,3,FALSE)),"")</f>
        <v>United Kingdom</v>
      </c>
      <c r="F16" s="18" t="s">
        <v>393</v>
      </c>
      <c r="G16" s="35">
        <v>20000</v>
      </c>
      <c r="H16" s="36">
        <f>IF(I16="Error",0,ROUND(G16,2))</f>
        <v>20000</v>
      </c>
      <c r="I16" s="33" t="str">
        <f>IF(OR(COUNTIF(WorkPackage,B16)=0,COUNTIF(PartnerN°,C16)=0,D16="",COUNTIF(CountryALL,E16)=0,F16="",ISNUMBER(G16)=FALSE,IF(ISNUMBER(G16)=TRUE,G16=INT(G16*100)/100=FALSE)),"Error","")</f>
        <v/>
      </c>
    </row>
  </sheetData>
  <sheetProtection algorithmName="SHA-512" hashValue="H4VARfx+Y/E0jqvosx5GBZgWA+Bv4X90X44W9jMdJsII7SvP6Z/qI4EKFaoTdPSTYo5fwpznS/RB6vZYvu2dRA==" saltValue="usy6/KxLt5avnemmLkl0QQ=="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6">
    <cfRule type="containsText" dxfId="51" priority="195" operator="containsText" text="Error">
      <formula>NOT(ISERROR(SEARCH("Error",I13)))</formula>
    </cfRule>
  </conditionalFormatting>
  <conditionalFormatting sqref="D13:E16">
    <cfRule type="containsBlanks" dxfId="50" priority="189">
      <formula>LEN(TRIM(D13))=0</formula>
    </cfRule>
  </conditionalFormatting>
  <conditionalFormatting sqref="G13">
    <cfRule type="cellIs" dxfId="49" priority="14" operator="lessThanOrEqual">
      <formula>0</formula>
    </cfRule>
  </conditionalFormatting>
  <conditionalFormatting sqref="F13:G13">
    <cfRule type="containsBlanks" dxfId="48" priority="11">
      <formula>LEN(TRIM(F13))=0</formula>
    </cfRule>
  </conditionalFormatting>
  <conditionalFormatting sqref="G14">
    <cfRule type="cellIs" dxfId="47" priority="10" operator="lessThanOrEqual">
      <formula>0</formula>
    </cfRule>
  </conditionalFormatting>
  <conditionalFormatting sqref="F14:G14">
    <cfRule type="containsBlanks" dxfId="46" priority="9">
      <formula>LEN(TRIM(F14))=0</formula>
    </cfRule>
  </conditionalFormatting>
  <conditionalFormatting sqref="B13:C13">
    <cfRule type="containsBlanks" dxfId="45" priority="8">
      <formula>LEN(TRIM(B13))=0</formula>
    </cfRule>
  </conditionalFormatting>
  <conditionalFormatting sqref="B14:C14">
    <cfRule type="containsBlanks" dxfId="44" priority="7">
      <formula>LEN(TRIM(B14))=0</formula>
    </cfRule>
  </conditionalFormatting>
  <conditionalFormatting sqref="G15">
    <cfRule type="cellIs" dxfId="43" priority="6" operator="lessThanOrEqual">
      <formula>0</formula>
    </cfRule>
  </conditionalFormatting>
  <conditionalFormatting sqref="F15:G15">
    <cfRule type="containsBlanks" dxfId="42" priority="5">
      <formula>LEN(TRIM(F15))=0</formula>
    </cfRule>
  </conditionalFormatting>
  <conditionalFormatting sqref="B15:C15">
    <cfRule type="containsBlanks" dxfId="41" priority="4">
      <formula>LEN(TRIM(B15))=0</formula>
    </cfRule>
  </conditionalFormatting>
  <conditionalFormatting sqref="G16">
    <cfRule type="cellIs" dxfId="40" priority="3" operator="lessThanOrEqual">
      <formula>0</formula>
    </cfRule>
  </conditionalFormatting>
  <conditionalFormatting sqref="F16:G16">
    <cfRule type="containsBlanks" dxfId="39" priority="2">
      <formula>LEN(TRIM(F16))=0</formula>
    </cfRule>
  </conditionalFormatting>
  <conditionalFormatting sqref="B16:C16">
    <cfRule type="containsBlanks" dxfId="38" priority="1">
      <formula>LEN(TRIM(B16))=0</formula>
    </cfRule>
  </conditionalFormatting>
  <dataValidations xWindow="126" yWindow="424" count="4">
    <dataValidation type="custom" allowBlank="1" showInputMessage="1" showErrorMessage="1" error="Format error (2 decimals only)" prompt="Please encode amount (2 decimals only)" sqref="G13:G16" xr:uid="{00000000-0002-0000-0500-000000000000}">
      <formula1>G13=INT(G13*100)/100</formula1>
    </dataValidation>
    <dataValidation allowBlank="1" showInputMessage="1" showErrorMessage="1" error="Please encode Nature, type and specifications" prompt="Please encode Nature, type and specifications" sqref="F13:F16" xr:uid="{00000000-0002-0000-0500-000001000000}"/>
    <dataValidation type="list" allowBlank="1" showInputMessage="1" showErrorMessage="1" error="Click arrow to select Work Package" prompt="Click arrow to select Work Package" sqref="B13:B16" xr:uid="{00000000-0002-0000-0500-000002000000}">
      <formula1>WorkPackage</formula1>
    </dataValidation>
    <dataValidation type="list" allowBlank="1" showInputMessage="1" showErrorMessage="1" error="Click arrow to select Partner N°" prompt="Click arrow to select Partner N°" sqref="C13:C16"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2"/>
  <sheetViews>
    <sheetView showGridLines="0" zoomScale="70" zoomScaleNormal="70" zoomScaleSheetLayoutView="55" workbookViewId="0">
      <pane ySplit="13" topLeftCell="A14" activePane="bottomLeft" state="frozen"/>
      <selection pane="bottomLeft" activeCell="H17" sqref="H17"/>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90"/>
      <c r="C1" s="190"/>
      <c r="D1" s="190"/>
      <c r="E1" s="190"/>
      <c r="F1" s="190"/>
      <c r="G1" s="190"/>
      <c r="H1" s="190"/>
      <c r="I1" s="190"/>
      <c r="J1" s="190"/>
    </row>
    <row r="2" spans="2:10" s="20" customFormat="1" ht="39.9" customHeight="1" x14ac:dyDescent="0.35">
      <c r="B2" s="139" t="s">
        <v>199</v>
      </c>
      <c r="C2" s="139"/>
      <c r="D2" s="139"/>
      <c r="E2" s="139"/>
      <c r="F2" s="139"/>
      <c r="G2" s="139"/>
      <c r="H2" s="139"/>
      <c r="I2" s="139"/>
      <c r="J2" s="139"/>
    </row>
    <row r="3" spans="2:10" s="20" customFormat="1" ht="8.1" customHeight="1" x14ac:dyDescent="0.35">
      <c r="B3" s="158"/>
      <c r="C3" s="159"/>
      <c r="D3" s="159"/>
      <c r="E3" s="159"/>
      <c r="F3" s="159"/>
      <c r="G3" s="159"/>
      <c r="H3" s="159"/>
      <c r="I3" s="159"/>
      <c r="J3" s="160"/>
    </row>
    <row r="4" spans="2:10" s="20" customFormat="1" ht="9.9" customHeight="1" x14ac:dyDescent="0.35">
      <c r="B4" s="205" t="s">
        <v>184</v>
      </c>
      <c r="C4" s="202">
        <f>SUM(I:I)</f>
        <v>75000</v>
      </c>
      <c r="D4" s="208"/>
      <c r="E4" s="209"/>
      <c r="F4" s="209"/>
      <c r="G4" s="209"/>
      <c r="H4" s="209"/>
      <c r="I4" s="209"/>
      <c r="J4" s="210"/>
    </row>
    <row r="5" spans="2:10" s="20" customFormat="1" ht="9.9" customHeight="1" x14ac:dyDescent="0.35">
      <c r="B5" s="206"/>
      <c r="C5" s="203"/>
      <c r="D5" s="208"/>
      <c r="E5" s="209"/>
      <c r="F5" s="209"/>
      <c r="G5" s="209"/>
      <c r="H5" s="209"/>
      <c r="I5" s="209"/>
      <c r="J5" s="210"/>
    </row>
    <row r="6" spans="2:10" s="20" customFormat="1" ht="9.9" customHeight="1" x14ac:dyDescent="0.35">
      <c r="B6" s="206"/>
      <c r="C6" s="203"/>
      <c r="D6" s="208"/>
      <c r="E6" s="209"/>
      <c r="F6" s="209"/>
      <c r="G6" s="209"/>
      <c r="H6" s="209"/>
      <c r="I6" s="209"/>
      <c r="J6" s="210"/>
    </row>
    <row r="7" spans="2:10" s="20" customFormat="1" ht="9.9" customHeight="1" x14ac:dyDescent="0.35">
      <c r="B7" s="206"/>
      <c r="C7" s="203"/>
      <c r="D7" s="208"/>
      <c r="E7" s="209"/>
      <c r="F7" s="209"/>
      <c r="G7" s="209"/>
      <c r="H7" s="209"/>
      <c r="I7" s="209"/>
      <c r="J7" s="210"/>
    </row>
    <row r="8" spans="2:10" s="20" customFormat="1" ht="9.9" customHeight="1" x14ac:dyDescent="0.35">
      <c r="B8" s="206"/>
      <c r="C8" s="203"/>
      <c r="D8" s="208"/>
      <c r="E8" s="209"/>
      <c r="F8" s="209"/>
      <c r="G8" s="209"/>
      <c r="H8" s="209"/>
      <c r="I8" s="209"/>
      <c r="J8" s="210"/>
    </row>
    <row r="9" spans="2:10" s="20" customFormat="1" ht="9.9" customHeight="1" x14ac:dyDescent="0.35">
      <c r="B9" s="207"/>
      <c r="C9" s="204"/>
      <c r="D9" s="208"/>
      <c r="E9" s="209"/>
      <c r="F9" s="209"/>
      <c r="G9" s="209"/>
      <c r="H9" s="209"/>
      <c r="I9" s="209"/>
      <c r="J9" s="210"/>
    </row>
    <row r="10" spans="2:10" s="20" customFormat="1" ht="8.1" customHeight="1" x14ac:dyDescent="0.35">
      <c r="B10" s="150"/>
      <c r="C10" s="157"/>
      <c r="D10" s="157"/>
      <c r="E10" s="157"/>
      <c r="F10" s="157"/>
      <c r="G10" s="157"/>
      <c r="H10" s="157"/>
      <c r="I10" s="157"/>
      <c r="J10" s="151"/>
    </row>
    <row r="11" spans="2:10" s="45" customFormat="1" ht="42" customHeight="1" x14ac:dyDescent="0.35">
      <c r="B11" s="140" t="s">
        <v>147</v>
      </c>
      <c r="C11" s="140" t="s">
        <v>216</v>
      </c>
      <c r="D11" s="140" t="s">
        <v>217</v>
      </c>
      <c r="E11" s="140" t="s">
        <v>188</v>
      </c>
      <c r="F11" s="142" t="s">
        <v>189</v>
      </c>
      <c r="G11" s="142" t="s">
        <v>190</v>
      </c>
      <c r="H11" s="191" t="s">
        <v>165</v>
      </c>
      <c r="I11" s="191" t="s">
        <v>164</v>
      </c>
      <c r="J11" s="191" t="s">
        <v>218</v>
      </c>
    </row>
    <row r="12" spans="2:10" ht="23.85" customHeight="1" x14ac:dyDescent="0.35">
      <c r="B12" s="141"/>
      <c r="C12" s="141"/>
      <c r="D12" s="141"/>
      <c r="E12" s="141"/>
      <c r="F12" s="141"/>
      <c r="G12" s="141"/>
      <c r="H12" s="141"/>
      <c r="I12" s="141"/>
      <c r="J12" s="141"/>
    </row>
    <row r="13" spans="2:10" s="34" customFormat="1" hidden="1" x14ac:dyDescent="0.3">
      <c r="B13" s="19"/>
      <c r="C13" s="42" t="str">
        <f t="shared" ref="C13:C18" si="0">IFERROR(IF(VLOOKUP(B13,PartnerN°Ref,2,FALSE)=0,"",VLOOKUP(B13,PartnerN°Ref,2,FALSE)),"")</f>
        <v/>
      </c>
      <c r="D13" s="42" t="str">
        <f t="shared" ref="D13:D18" si="1">IFERROR(IF(OR(VLOOKUP(B13,PartnerN°Ref,4,FALSE)="Country not found",VLOOKUP(B13,PartnerN°Ref,3,FALSE)=0),"",VLOOKUP(B13,PartnerN°Ref,3,FALSE)),"")</f>
        <v/>
      </c>
      <c r="E13" s="18"/>
      <c r="F13" s="18"/>
      <c r="G13" s="18"/>
      <c r="H13" s="35">
        <v>0</v>
      </c>
      <c r="I13" s="36">
        <f t="shared" ref="I13:I18" si="2">IF(J13="Error",0,ROUND(H13,2))</f>
        <v>0</v>
      </c>
      <c r="J13" s="33" t="str">
        <f t="shared" ref="J13:J18" si="3">IF(OR(COUNTIF(PartnerN°,B13)=0,C13="",COUNTIF(CountryALL,D13)=0,E13="",F13="",G13="",ISNUMBER(H13)=FALSE,IF(ISNUMBER(H13)=TRUE,H13=INT(H13*100)/100=FALSE)),"Error","")</f>
        <v>Error</v>
      </c>
    </row>
    <row r="14" spans="2:10" s="34" customFormat="1" ht="54" x14ac:dyDescent="0.3">
      <c r="B14" s="19" t="s">
        <v>8</v>
      </c>
      <c r="C14" s="42" t="str">
        <f t="shared" si="0"/>
        <v>BNV (Bošnjačko nacionalno vijeće)</v>
      </c>
      <c r="D14" s="42" t="str">
        <f t="shared" si="1"/>
        <v>Serbia</v>
      </c>
      <c r="E14" s="18" t="s">
        <v>398</v>
      </c>
      <c r="F14" s="18" t="s">
        <v>399</v>
      </c>
      <c r="G14" s="18" t="s">
        <v>400</v>
      </c>
      <c r="H14" s="35">
        <v>10000</v>
      </c>
      <c r="I14" s="36">
        <f t="shared" si="2"/>
        <v>10000</v>
      </c>
      <c r="J14" s="33" t="str">
        <f t="shared" si="3"/>
        <v/>
      </c>
    </row>
    <row r="15" spans="2:10" s="34" customFormat="1" ht="36" x14ac:dyDescent="0.3">
      <c r="B15" s="19" t="s">
        <v>11</v>
      </c>
      <c r="C15" s="42" t="str">
        <f t="shared" si="0"/>
        <v>Zavod za zaštitu spomenika kulture Novog Pazara</v>
      </c>
      <c r="D15" s="42" t="str">
        <f t="shared" si="1"/>
        <v>Serbia</v>
      </c>
      <c r="E15" s="18" t="s">
        <v>401</v>
      </c>
      <c r="F15" s="18" t="s">
        <v>402</v>
      </c>
      <c r="G15" s="18" t="s">
        <v>403</v>
      </c>
      <c r="H15" s="35">
        <v>15000</v>
      </c>
      <c r="I15" s="36">
        <f t="shared" si="2"/>
        <v>15000</v>
      </c>
      <c r="J15" s="33" t="str">
        <f t="shared" si="3"/>
        <v/>
      </c>
    </row>
    <row r="16" spans="2:10" s="34" customFormat="1" ht="36" x14ac:dyDescent="0.3">
      <c r="B16" s="19" t="s">
        <v>12</v>
      </c>
      <c r="C16" s="42" t="str">
        <f t="shared" si="0"/>
        <v>Zavičajni muzej u Tutinu</v>
      </c>
      <c r="D16" s="42" t="str">
        <f t="shared" si="1"/>
        <v>Serbia</v>
      </c>
      <c r="E16" s="18" t="s">
        <v>404</v>
      </c>
      <c r="F16" s="18" t="s">
        <v>405</v>
      </c>
      <c r="G16" s="18" t="s">
        <v>406</v>
      </c>
      <c r="H16" s="35">
        <v>15000</v>
      </c>
      <c r="I16" s="36">
        <f t="shared" si="2"/>
        <v>15000</v>
      </c>
      <c r="J16" s="33" t="str">
        <f t="shared" si="3"/>
        <v/>
      </c>
    </row>
    <row r="17" spans="2:10" s="34" customFormat="1" ht="36" x14ac:dyDescent="0.3">
      <c r="B17" s="19" t="s">
        <v>15</v>
      </c>
      <c r="C17" s="42" t="str">
        <f t="shared" si="0"/>
        <v>British Museum</v>
      </c>
      <c r="D17" s="42" t="str">
        <f t="shared" si="1"/>
        <v>United Kingdom</v>
      </c>
      <c r="E17" s="18" t="s">
        <v>407</v>
      </c>
      <c r="F17" s="18" t="s">
        <v>408</v>
      </c>
      <c r="G17" s="18" t="s">
        <v>409</v>
      </c>
      <c r="H17" s="35">
        <v>15000</v>
      </c>
      <c r="I17" s="36">
        <f t="shared" si="2"/>
        <v>15000</v>
      </c>
      <c r="J17" s="33" t="str">
        <f t="shared" si="3"/>
        <v/>
      </c>
    </row>
    <row r="18" spans="2:10" s="34" customFormat="1" ht="36" x14ac:dyDescent="0.3">
      <c r="B18" s="19" t="s">
        <v>8</v>
      </c>
      <c r="C18" s="42" t="str">
        <f t="shared" si="0"/>
        <v>BNV (Bošnjačko nacionalno vijeće)</v>
      </c>
      <c r="D18" s="42" t="str">
        <f t="shared" si="1"/>
        <v>Serbia</v>
      </c>
      <c r="E18" s="18" t="s">
        <v>410</v>
      </c>
      <c r="F18" s="18" t="s">
        <v>411</v>
      </c>
      <c r="G18" s="18" t="s">
        <v>412</v>
      </c>
      <c r="H18" s="35">
        <v>20000</v>
      </c>
      <c r="I18" s="36">
        <f t="shared" si="2"/>
        <v>20000</v>
      </c>
      <c r="J18" s="33" t="str">
        <f t="shared" si="3"/>
        <v/>
      </c>
    </row>
    <row r="20" spans="2:10" x14ac:dyDescent="0.35">
      <c r="B20" s="39" t="s">
        <v>219</v>
      </c>
    </row>
    <row r="21" spans="2:10" x14ac:dyDescent="0.35">
      <c r="B21" s="39" t="s">
        <v>220</v>
      </c>
    </row>
    <row r="22" spans="2:10" x14ac:dyDescent="0.35">
      <c r="B22" s="39" t="s">
        <v>221</v>
      </c>
    </row>
  </sheetData>
  <sheetProtection algorithmName="SHA-512" hashValue="SyrkRCD58/MXVc87zOgGP52rfO3cgBoRpqkal7euiAkpur3Unle83to+sRbFLBE1RBfFCkhaBgzEvXXUARl44A==" saltValue="c913PE367bTwzBoBOcYG0g=="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8">
    <cfRule type="containsText" dxfId="37" priority="156" operator="containsText" text="Error">
      <formula>NOT(ISERROR(SEARCH("Error",J13)))</formula>
    </cfRule>
  </conditionalFormatting>
  <conditionalFormatting sqref="C13:D18">
    <cfRule type="containsBlanks" dxfId="36" priority="149">
      <formula>LEN(TRIM(C13))=0</formula>
    </cfRule>
  </conditionalFormatting>
  <conditionalFormatting sqref="H13">
    <cfRule type="cellIs" dxfId="35" priority="20" operator="lessThanOrEqual">
      <formula>0</formula>
    </cfRule>
  </conditionalFormatting>
  <conditionalFormatting sqref="E13:H13">
    <cfRule type="containsBlanks" dxfId="34" priority="17">
      <formula>LEN(TRIM(E13))=0</formula>
    </cfRule>
  </conditionalFormatting>
  <conditionalFormatting sqref="H14">
    <cfRule type="cellIs" dxfId="33" priority="16" operator="lessThanOrEqual">
      <formula>0</formula>
    </cfRule>
  </conditionalFormatting>
  <conditionalFormatting sqref="E14:H14">
    <cfRule type="containsBlanks" dxfId="32" priority="15">
      <formula>LEN(TRIM(E14))=0</formula>
    </cfRule>
  </conditionalFormatting>
  <conditionalFormatting sqref="B13">
    <cfRule type="containsBlanks" dxfId="31" priority="14">
      <formula>LEN(TRIM(B13))=0</formula>
    </cfRule>
  </conditionalFormatting>
  <conditionalFormatting sqref="B14">
    <cfRule type="containsBlanks" dxfId="30" priority="13">
      <formula>LEN(TRIM(B14))=0</formula>
    </cfRule>
  </conditionalFormatting>
  <conditionalFormatting sqref="H15">
    <cfRule type="cellIs" dxfId="29" priority="12" operator="lessThanOrEqual">
      <formula>0</formula>
    </cfRule>
  </conditionalFormatting>
  <conditionalFormatting sqref="E15:H15">
    <cfRule type="containsBlanks" dxfId="28" priority="11">
      <formula>LEN(TRIM(E15))=0</formula>
    </cfRule>
  </conditionalFormatting>
  <conditionalFormatting sqref="B15">
    <cfRule type="containsBlanks" dxfId="27" priority="10">
      <formula>LEN(TRIM(B15))=0</formula>
    </cfRule>
  </conditionalFormatting>
  <conditionalFormatting sqref="H16">
    <cfRule type="cellIs" dxfId="26" priority="9" operator="lessThanOrEqual">
      <formula>0</formula>
    </cfRule>
  </conditionalFormatting>
  <conditionalFormatting sqref="E16:H16">
    <cfRule type="containsBlanks" dxfId="25" priority="8">
      <formula>LEN(TRIM(E16))=0</formula>
    </cfRule>
  </conditionalFormatting>
  <conditionalFormatting sqref="B16">
    <cfRule type="containsBlanks" dxfId="24" priority="7">
      <formula>LEN(TRIM(B16))=0</formula>
    </cfRule>
  </conditionalFormatting>
  <conditionalFormatting sqref="H17">
    <cfRule type="cellIs" dxfId="23" priority="6" operator="lessThanOrEqual">
      <formula>0</formula>
    </cfRule>
  </conditionalFormatting>
  <conditionalFormatting sqref="E17:H17">
    <cfRule type="containsBlanks" dxfId="22" priority="5">
      <formula>LEN(TRIM(E17))=0</formula>
    </cfRule>
  </conditionalFormatting>
  <conditionalFormatting sqref="B17">
    <cfRule type="containsBlanks" dxfId="21" priority="4">
      <formula>LEN(TRIM(B17))=0</formula>
    </cfRule>
  </conditionalFormatting>
  <conditionalFormatting sqref="H18">
    <cfRule type="cellIs" dxfId="20" priority="3" operator="lessThanOrEqual">
      <formula>0</formula>
    </cfRule>
  </conditionalFormatting>
  <conditionalFormatting sqref="E18:H18">
    <cfRule type="containsBlanks" dxfId="19" priority="2">
      <formula>LEN(TRIM(E18))=0</formula>
    </cfRule>
  </conditionalFormatting>
  <conditionalFormatting sqref="B18">
    <cfRule type="containsBlanks" dxfId="18" priority="1">
      <formula>LEN(TRIM(B18))=0</formula>
    </cfRule>
  </conditionalFormatting>
  <dataValidations count="5">
    <dataValidation allowBlank="1" showInputMessage="1" showErrorMessage="1" error="Please encode Item" prompt="Please encode Item" sqref="E13:E18" xr:uid="{00000000-0002-0000-0600-000000000000}"/>
    <dataValidation type="custom" allowBlank="1" showInputMessage="1" showErrorMessage="1" error="Format error (2 decimals only)" prompt="Please encode amount (2 decimals only)" sqref="H13:H18" xr:uid="{00000000-0002-0000-0600-000001000000}">
      <formula1>H13=INT(H13*100)/100</formula1>
    </dataValidation>
    <dataValidation allowBlank="1" showInputMessage="1" showErrorMessage="1" error="Please encode Justification" prompt="Please encode Justification" sqref="G13:G18" xr:uid="{00000000-0002-0000-0600-000002000000}"/>
    <dataValidation allowBlank="1" showInputMessage="1" showErrorMessage="1" error="Please encode Source of Co-financing" prompt="Please encode Source of Co-financing" sqref="F13:F18" xr:uid="{00000000-0002-0000-0600-000003000000}"/>
    <dataValidation type="list" allowBlank="1" showInputMessage="1" showErrorMessage="1" error="Click arrow to select Partner n°" prompt="Click arrow to select Partner n°" sqref="B13:B18"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90"/>
      <c r="C1" s="190"/>
      <c r="D1" s="190"/>
      <c r="E1" s="190"/>
      <c r="F1" s="190"/>
      <c r="G1" s="190"/>
      <c r="H1" s="190"/>
      <c r="I1" s="190"/>
    </row>
    <row r="2" spans="2:9" s="20" customFormat="1" ht="30" customHeight="1" x14ac:dyDescent="0.35">
      <c r="B2" s="139" t="s">
        <v>178</v>
      </c>
      <c r="C2" s="139"/>
      <c r="D2" s="139"/>
      <c r="E2" s="139"/>
      <c r="F2" s="139"/>
      <c r="G2" s="139"/>
      <c r="H2" s="139"/>
      <c r="I2" s="139"/>
    </row>
    <row r="3" spans="2:9" s="20" customFormat="1" ht="8.1" customHeight="1" x14ac:dyDescent="0.35">
      <c r="B3" s="214"/>
      <c r="C3" s="214"/>
      <c r="D3" s="214"/>
      <c r="E3" s="214"/>
      <c r="F3" s="214"/>
      <c r="G3" s="214"/>
      <c r="H3" s="214"/>
      <c r="I3" s="214"/>
    </row>
    <row r="4" spans="2:9" s="45" customFormat="1" ht="42" customHeight="1" x14ac:dyDescent="0.35">
      <c r="B4" s="44" t="s">
        <v>162</v>
      </c>
      <c r="C4" s="12" t="s">
        <v>191</v>
      </c>
      <c r="D4" s="12" t="s">
        <v>192</v>
      </c>
      <c r="E4" s="12" t="s">
        <v>200</v>
      </c>
      <c r="F4" s="12" t="s">
        <v>201</v>
      </c>
      <c r="G4" s="12" t="s">
        <v>202</v>
      </c>
      <c r="H4" s="12" t="s">
        <v>340</v>
      </c>
      <c r="I4" s="12" t="s">
        <v>164</v>
      </c>
    </row>
    <row r="5" spans="2:9" x14ac:dyDescent="0.35">
      <c r="B5" s="76" t="str">
        <f>'Unit Costs &amp; Funding Rule'!P10</f>
        <v>Preparation</v>
      </c>
      <c r="C5" s="21">
        <f>SUMIF('1. Staff costs'!B:B,B5,'1. Staff costs'!S:S)</f>
        <v>0</v>
      </c>
      <c r="D5" s="21">
        <f>SUMIF(' 2-3-6. Travel&amp;Costs of Stay'!B:B,B5,' 2-3-6. Travel&amp;Costs of Stay'!O:O)</f>
        <v>0</v>
      </c>
      <c r="E5" s="22">
        <f>SUMIF(' 2-3-6. Travel&amp;Costs of Stay'!B:B,B5,' 2-3-6. Travel&amp;Costs of Stay'!P:P)</f>
        <v>12710</v>
      </c>
      <c r="F5" s="22">
        <f>SUMIF('4. Equipment Costs'!B:B,B5,'4. Equipment Costs'!H:H)</f>
        <v>10000</v>
      </c>
      <c r="G5" s="22">
        <f>SUMIF('5. Subcontracting Costs'!B:B,B5,'5. Subcontracting Costs'!H:H)</f>
        <v>0</v>
      </c>
      <c r="H5" s="22">
        <f>SUMIF(' 2-3-6. Travel&amp;Costs of Stay'!B:B,B5,' 2-3-6. Travel&amp;Costs of Stay'!N:N)</f>
        <v>6000</v>
      </c>
      <c r="I5" s="23">
        <f t="shared" ref="I5:I10" si="0">SUM(C5:H5)</f>
        <v>28710</v>
      </c>
    </row>
    <row r="6" spans="2:9" ht="16.5" customHeight="1" x14ac:dyDescent="0.35">
      <c r="B6" s="76" t="str">
        <f>'Unit Costs &amp; Funding Rule'!P11</f>
        <v>Development</v>
      </c>
      <c r="C6" s="21">
        <f>SUMIF('1. Staff costs'!B:B,B6,'1. Staff costs'!S:S)</f>
        <v>0</v>
      </c>
      <c r="D6" s="21">
        <f>SUMIF(' 2-3-6. Travel&amp;Costs of Stay'!B:B,B6,' 2-3-6. Travel&amp;Costs of Stay'!O:O)</f>
        <v>1375</v>
      </c>
      <c r="E6" s="22">
        <f>SUMIF(' 2-3-6. Travel&amp;Costs of Stay'!B:B,B6,' 2-3-6. Travel&amp;Costs of Stay'!P:P)</f>
        <v>96900</v>
      </c>
      <c r="F6" s="22">
        <f>SUMIF('4. Equipment Costs'!B:B,B6,'4. Equipment Costs'!H:H)</f>
        <v>78000</v>
      </c>
      <c r="G6" s="22">
        <f>SUMIF('5. Subcontracting Costs'!B:B,B6,'5. Subcontracting Costs'!H:H)</f>
        <v>30000</v>
      </c>
      <c r="H6" s="22">
        <f>SUMIF(' 2-3-6. Travel&amp;Costs of Stay'!B:B,B6,' 2-3-6. Travel&amp;Costs of Stay'!N:N)</f>
        <v>37520</v>
      </c>
      <c r="I6" s="23">
        <f t="shared" si="0"/>
        <v>243795</v>
      </c>
    </row>
    <row r="7" spans="2:9" ht="16.5" customHeight="1" x14ac:dyDescent="0.35">
      <c r="B7" s="76" t="str">
        <f>'Unit Costs &amp; Funding Rule'!P12</f>
        <v>Quality Plan</v>
      </c>
      <c r="C7" s="21">
        <f>SUMIF('1. Staff costs'!B:B,B7,'1. Staff costs'!S:S)</f>
        <v>100930</v>
      </c>
      <c r="D7" s="21">
        <f>SUMIF(' 2-3-6. Travel&amp;Costs of Stay'!B:B,B7,' 2-3-6. Travel&amp;Costs of Stay'!O:O)</f>
        <v>0</v>
      </c>
      <c r="E7" s="22">
        <f>SUMIF(' 2-3-6. Travel&amp;Costs of Stay'!B:B,B7,' 2-3-6. Travel&amp;Costs of Stay'!P:P)</f>
        <v>0</v>
      </c>
      <c r="F7" s="22">
        <f>SUMIF('4. Equipment Costs'!B:B,B7,'4. Equipment Costs'!H:H)</f>
        <v>60000</v>
      </c>
      <c r="G7" s="22">
        <f>SUMIF('5. Subcontracting Costs'!B:B,B7,'5. Subcontracting Costs'!H:H)</f>
        <v>0</v>
      </c>
      <c r="H7" s="22">
        <f>SUMIF(' 2-3-6. Travel&amp;Costs of Stay'!B:B,B7,' 2-3-6. Travel&amp;Costs of Stay'!N:N)</f>
        <v>0</v>
      </c>
      <c r="I7" s="23">
        <f t="shared" si="0"/>
        <v>160930</v>
      </c>
    </row>
    <row r="8" spans="2:9" ht="16.5" customHeight="1" x14ac:dyDescent="0.35">
      <c r="B8" s="76" t="str">
        <f>'Unit Costs &amp; Funding Rule'!P13</f>
        <v>Dissemination &amp; Exploitation</v>
      </c>
      <c r="C8" s="21">
        <f>SUMIF('1. Staff costs'!B:B,B8,'1. Staff costs'!S:S)</f>
        <v>95370</v>
      </c>
      <c r="D8" s="21">
        <f>SUMIF(' 2-3-6. Travel&amp;Costs of Stay'!B:B,B8,' 2-3-6. Travel&amp;Costs of Stay'!O:O)</f>
        <v>18000</v>
      </c>
      <c r="E8" s="22">
        <f>SUMIF(' 2-3-6. Travel&amp;Costs of Stay'!B:B,B8,' 2-3-6. Travel&amp;Costs of Stay'!P:P)</f>
        <v>72300</v>
      </c>
      <c r="F8" s="22">
        <f>SUMIF('4. Equipment Costs'!B:B,B8,'4. Equipment Costs'!H:H)</f>
        <v>55000</v>
      </c>
      <c r="G8" s="22">
        <f>SUMIF('5. Subcontracting Costs'!B:B,B8,'5. Subcontracting Costs'!H:H)</f>
        <v>30000</v>
      </c>
      <c r="H8" s="22">
        <f>SUMIF(' 2-3-6. Travel&amp;Costs of Stay'!B:B,B8,' 2-3-6. Travel&amp;Costs of Stay'!N:N)</f>
        <v>1600</v>
      </c>
      <c r="I8" s="23">
        <f t="shared" si="0"/>
        <v>272270</v>
      </c>
    </row>
    <row r="9" spans="2:9" ht="16.5" customHeight="1" x14ac:dyDescent="0.35">
      <c r="B9" s="76" t="str">
        <f>'Unit Costs &amp; Funding Rule'!P14</f>
        <v>Management</v>
      </c>
      <c r="C9" s="21">
        <f>SUMIF('1. Staff costs'!B:B,B9,'1. Staff costs'!S:S)</f>
        <v>118380</v>
      </c>
      <c r="D9" s="21">
        <f>SUMIF(' 2-3-6. Travel&amp;Costs of Stay'!B:B,B9,' 2-3-6. Travel&amp;Costs of Stay'!O:O)</f>
        <v>15550</v>
      </c>
      <c r="E9" s="22">
        <f>SUMIF(' 2-3-6. Travel&amp;Costs of Stay'!B:B,B9,' 2-3-6. Travel&amp;Costs of Stay'!P:P)</f>
        <v>64500</v>
      </c>
      <c r="F9" s="22">
        <f>SUMIF('4. Equipment Costs'!B:B,B9,'4. Equipment Costs'!H:H)</f>
        <v>30000</v>
      </c>
      <c r="G9" s="22">
        <f>SUMIF('5. Subcontracting Costs'!B:B,B9,'5. Subcontracting Costs'!H:H)</f>
        <v>20000</v>
      </c>
      <c r="H9" s="22">
        <f>SUMIF(' 2-3-6. Travel&amp;Costs of Stay'!B:B,B9,' 2-3-6. Travel&amp;Costs of Stay'!N:N)</f>
        <v>0</v>
      </c>
      <c r="I9" s="23">
        <f t="shared" si="0"/>
        <v>248430</v>
      </c>
    </row>
    <row r="10" spans="2:9" x14ac:dyDescent="0.35">
      <c r="B10" s="43" t="s">
        <v>1</v>
      </c>
      <c r="C10" s="23">
        <f t="shared" ref="C10:F10" si="1">SUM(C5:C9)</f>
        <v>314680</v>
      </c>
      <c r="D10" s="23">
        <f t="shared" si="1"/>
        <v>34925</v>
      </c>
      <c r="E10" s="23">
        <f t="shared" si="1"/>
        <v>246410</v>
      </c>
      <c r="F10" s="23">
        <f t="shared" si="1"/>
        <v>233000</v>
      </c>
      <c r="G10" s="23">
        <f>SUM(G5:G9)</f>
        <v>80000</v>
      </c>
      <c r="H10" s="23">
        <f>SUM(H5:H9)</f>
        <v>45120</v>
      </c>
      <c r="I10" s="17">
        <f t="shared" si="0"/>
        <v>954135</v>
      </c>
    </row>
    <row r="11" spans="2:9" ht="20.100000000000001" customHeight="1" x14ac:dyDescent="0.35">
      <c r="B11" s="213"/>
      <c r="C11" s="213"/>
      <c r="D11" s="213"/>
      <c r="E11" s="213"/>
      <c r="F11" s="213"/>
      <c r="G11" s="213"/>
      <c r="H11" s="213"/>
      <c r="I11" s="213"/>
    </row>
    <row r="12" spans="2:9" ht="30" customHeight="1" x14ac:dyDescent="0.35">
      <c r="B12" s="139" t="s">
        <v>203</v>
      </c>
      <c r="C12" s="139"/>
      <c r="D12" s="139"/>
      <c r="E12" s="139"/>
      <c r="F12" s="139"/>
      <c r="G12" s="139"/>
      <c r="H12" s="139"/>
      <c r="I12" s="139"/>
    </row>
    <row r="13" spans="2:9" ht="8.1" customHeight="1" x14ac:dyDescent="0.35">
      <c r="B13" s="211"/>
      <c r="C13" s="211"/>
      <c r="D13" s="211"/>
      <c r="E13" s="211"/>
      <c r="F13" s="211"/>
      <c r="G13" s="211"/>
      <c r="H13" s="211"/>
      <c r="I13" s="211"/>
    </row>
    <row r="14" spans="2:9" ht="36" x14ac:dyDescent="0.35">
      <c r="B14" s="44" t="s">
        <v>177</v>
      </c>
      <c r="C14" s="12" t="s">
        <v>191</v>
      </c>
      <c r="D14" s="12" t="s">
        <v>192</v>
      </c>
      <c r="E14" s="12" t="s">
        <v>200</v>
      </c>
      <c r="F14" s="12" t="s">
        <v>201</v>
      </c>
      <c r="G14" s="12" t="s">
        <v>202</v>
      </c>
      <c r="H14" s="12" t="s">
        <v>340</v>
      </c>
      <c r="I14" s="12" t="s">
        <v>164</v>
      </c>
    </row>
    <row r="15" spans="2:9" x14ac:dyDescent="0.35">
      <c r="B15" s="76" t="s">
        <v>196</v>
      </c>
      <c r="C15" s="21">
        <f>SUMIF(Overview!$E$27:$E$81,B15,Overview!$F$27:$F$81)</f>
        <v>308080</v>
      </c>
      <c r="D15" s="21">
        <f>SUMIF(Overview!$E$27:$E$81,B15,Overview!$G$27:$G$81)</f>
        <v>13750</v>
      </c>
      <c r="E15" s="21">
        <f>SUMIF(Overview!$E$27:$E$81,B15,Overview!$H$27:$H$81)</f>
        <v>144410</v>
      </c>
      <c r="F15" s="21">
        <f>SUMIF(Overview!$E$27:$E$81,B15,Overview!$I$27:$I$81)</f>
        <v>0</v>
      </c>
      <c r="G15" s="21">
        <f>SUMIF(Overview!$E$27:$E$81,B15,Overview!$J$27:$J$81)</f>
        <v>80000</v>
      </c>
      <c r="H15" s="21">
        <f>SUMIF(Overview!$E$27:$E$81,B15,Overview!$K$27:$K$81)</f>
        <v>43120</v>
      </c>
      <c r="I15" s="23">
        <f>SUM(C15:H15)</f>
        <v>589360</v>
      </c>
    </row>
    <row r="16" spans="2:9" x14ac:dyDescent="0.35">
      <c r="B16" s="76" t="s">
        <v>197</v>
      </c>
      <c r="C16" s="21">
        <f>SUMIF(Overview!$E$27:$E$81,B16,Overview!$F$27:$F$81)</f>
        <v>6600</v>
      </c>
      <c r="D16" s="21">
        <f>SUMIF(Overview!$E$27:$E$81,B16,Overview!$G$27:$G$81)</f>
        <v>21175</v>
      </c>
      <c r="E16" s="21">
        <f>SUMIF(Overview!$E$27:$E$81,B16,Overview!$H$27:$H$81)</f>
        <v>102000</v>
      </c>
      <c r="F16" s="21">
        <f>SUMIF(Overview!$E$27:$E$81,B16,Overview!$I$27:$I$81)</f>
        <v>233000</v>
      </c>
      <c r="G16" s="21">
        <f>SUMIF(Overview!$E$27:$E$81,B16,Overview!$J$27:$J$81)</f>
        <v>0</v>
      </c>
      <c r="H16" s="21">
        <f>SUMIF(Overview!$E$27:$E$81,B16,Overview!$K$27:$K$81)</f>
        <v>2000</v>
      </c>
      <c r="I16" s="23">
        <f>SUM(C16:H16)</f>
        <v>364775</v>
      </c>
    </row>
    <row r="17" spans="2:9" x14ac:dyDescent="0.35">
      <c r="B17" s="43" t="s">
        <v>1</v>
      </c>
      <c r="C17" s="23">
        <f t="shared" ref="C17:F17" si="2">SUM(C15:C16)</f>
        <v>314680</v>
      </c>
      <c r="D17" s="23">
        <f t="shared" si="2"/>
        <v>34925</v>
      </c>
      <c r="E17" s="23">
        <f t="shared" si="2"/>
        <v>246410</v>
      </c>
      <c r="F17" s="23">
        <f t="shared" si="2"/>
        <v>233000</v>
      </c>
      <c r="G17" s="23">
        <f>SUM(G15:G16)</f>
        <v>80000</v>
      </c>
      <c r="H17" s="23">
        <f>SUM(H15:H16)</f>
        <v>45120</v>
      </c>
      <c r="I17" s="17">
        <f>SUM(C17:H17)</f>
        <v>954135</v>
      </c>
    </row>
    <row r="18" spans="2:9" ht="20.100000000000001" customHeight="1" x14ac:dyDescent="0.35">
      <c r="B18" s="212"/>
      <c r="C18" s="212"/>
      <c r="D18" s="212"/>
      <c r="E18" s="212"/>
      <c r="F18" s="212"/>
      <c r="G18" s="212"/>
      <c r="H18" s="212"/>
      <c r="I18" s="212"/>
    </row>
    <row r="19" spans="2:9" ht="30" customHeight="1" x14ac:dyDescent="0.35">
      <c r="B19" s="139" t="s">
        <v>205</v>
      </c>
      <c r="C19" s="139"/>
      <c r="D19" s="139"/>
      <c r="E19" s="139"/>
      <c r="F19" s="139"/>
      <c r="G19" s="139"/>
      <c r="H19" s="139"/>
      <c r="I19" s="139"/>
    </row>
    <row r="20" spans="2:9" ht="8.1" customHeight="1" x14ac:dyDescent="0.35">
      <c r="B20" s="211"/>
      <c r="C20" s="211"/>
      <c r="D20" s="211"/>
      <c r="E20" s="211"/>
      <c r="F20" s="211"/>
      <c r="G20" s="211"/>
      <c r="H20" s="211"/>
      <c r="I20" s="211"/>
    </row>
    <row r="21" spans="2:9" ht="54" customHeight="1" x14ac:dyDescent="0.35">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215" t="s">
        <v>164</v>
      </c>
      <c r="I21" s="216"/>
    </row>
    <row r="22" spans="2:9" x14ac:dyDescent="0.35">
      <c r="B22" s="48" t="s">
        <v>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3800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2280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7550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64250</v>
      </c>
      <c r="H22" s="217">
        <f t="shared" ref="H22:H34" si="3">SUM(C22:G22)</f>
        <v>77880</v>
      </c>
      <c r="I22" s="218"/>
    </row>
    <row r="23" spans="2:9" x14ac:dyDescent="0.35">
      <c r="B23" s="48" t="s">
        <v>9</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16200</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10160</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217">
        <f t="shared" si="3"/>
        <v>26360</v>
      </c>
      <c r="I23" s="218"/>
    </row>
    <row r="24" spans="2:9" x14ac:dyDescent="0.35">
      <c r="B24" s="48" t="s">
        <v>10</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9800</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8490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217">
        <f t="shared" si="3"/>
        <v>18290</v>
      </c>
      <c r="I24" s="218"/>
    </row>
    <row r="25" spans="2:9" x14ac:dyDescent="0.35">
      <c r="B25" s="48" t="s">
        <v>11</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2280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21500</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5550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217">
        <f t="shared" si="3"/>
        <v>29330</v>
      </c>
      <c r="I25" s="218"/>
    </row>
    <row r="26" spans="2:9" x14ac:dyDescent="0.35">
      <c r="B26" s="48" t="s">
        <v>12</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1880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5740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217">
        <f t="shared" si="3"/>
        <v>7620</v>
      </c>
      <c r="I26" s="218"/>
    </row>
    <row r="27" spans="2:9" x14ac:dyDescent="0.35">
      <c r="B27" s="48" t="s">
        <v>13</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1520</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7380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217">
        <f t="shared" si="3"/>
        <v>8900</v>
      </c>
      <c r="I27" s="218"/>
    </row>
    <row r="28" spans="2:9" x14ac:dyDescent="0.35">
      <c r="B28" s="48" t="s">
        <v>14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6450</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5900</v>
      </c>
      <c r="H28" s="217">
        <f t="shared" si="3"/>
        <v>12350</v>
      </c>
      <c r="I28" s="218"/>
    </row>
    <row r="29" spans="2:9" x14ac:dyDescent="0.35">
      <c r="B29" s="48" t="s">
        <v>15</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41600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14600</v>
      </c>
      <c r="H29" s="217">
        <f t="shared" si="3"/>
        <v>56200</v>
      </c>
      <c r="I29" s="218"/>
    </row>
    <row r="30" spans="2:9" x14ac:dyDescent="0.35">
      <c r="B30" s="48" t="s">
        <v>16</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9080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13650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217">
        <f t="shared" si="3"/>
        <v>22730</v>
      </c>
      <c r="I30" s="218"/>
    </row>
    <row r="31" spans="2:9" x14ac:dyDescent="0.35">
      <c r="B31" s="48" t="s">
        <v>17</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5000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22300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217">
        <f t="shared" si="3"/>
        <v>27300</v>
      </c>
      <c r="I31" s="218"/>
    </row>
    <row r="32" spans="2:9" x14ac:dyDescent="0.35">
      <c r="B32" s="48" t="s">
        <v>18</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3040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15910</v>
      </c>
      <c r="H32" s="217">
        <f t="shared" si="3"/>
        <v>18950</v>
      </c>
      <c r="I32" s="218"/>
    </row>
    <row r="33" spans="2:9" x14ac:dyDescent="0.35">
      <c r="B33" s="48" t="s">
        <v>19</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4200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10900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217">
        <f t="shared" si="3"/>
        <v>15100</v>
      </c>
      <c r="I33" s="218"/>
    </row>
    <row r="34" spans="2:9" x14ac:dyDescent="0.35">
      <c r="B34" s="48" t="s">
        <v>156</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5000</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26460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217">
        <f t="shared" si="3"/>
        <v>31460</v>
      </c>
      <c r="I34" s="218"/>
    </row>
    <row r="35" spans="2:9" x14ac:dyDescent="0.35">
      <c r="B35" s="48" t="s">
        <v>20</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30000</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30950</v>
      </c>
      <c r="H35" s="217">
        <f t="shared" ref="H35:H76" si="4">SUM(C35:G35)</f>
        <v>60950</v>
      </c>
      <c r="I35" s="218"/>
    </row>
    <row r="36" spans="2:9" x14ac:dyDescent="0.35">
      <c r="B36" s="48" t="s">
        <v>21</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35280</v>
      </c>
      <c r="H36" s="217">
        <f t="shared" si="4"/>
        <v>35280</v>
      </c>
      <c r="I36" s="218"/>
    </row>
    <row r="37" spans="2:9" x14ac:dyDescent="0.35">
      <c r="B37" s="48" t="s">
        <v>22</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21340</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20000</v>
      </c>
      <c r="H37" s="217">
        <f t="shared" si="4"/>
        <v>41340</v>
      </c>
      <c r="I37" s="218"/>
    </row>
    <row r="38" spans="2:9" x14ac:dyDescent="0.35">
      <c r="B38" s="48" t="s">
        <v>23</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5990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217">
        <f t="shared" si="4"/>
        <v>5990</v>
      </c>
      <c r="I38" s="218"/>
    </row>
    <row r="39" spans="2:9" x14ac:dyDescent="0.35">
      <c r="B39" s="48" t="s">
        <v>24</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20580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217">
        <f t="shared" si="4"/>
        <v>20580</v>
      </c>
      <c r="I39" s="218"/>
    </row>
    <row r="40" spans="2:9" x14ac:dyDescent="0.35">
      <c r="B40" s="48" t="s">
        <v>25</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23610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17">
        <f t="shared" si="4"/>
        <v>23610</v>
      </c>
      <c r="I40" s="218"/>
    </row>
    <row r="41" spans="2:9" x14ac:dyDescent="0.35">
      <c r="B41" s="48" t="s">
        <v>26</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33400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15740</v>
      </c>
      <c r="H41" s="217">
        <f t="shared" si="4"/>
        <v>49140</v>
      </c>
      <c r="I41" s="218"/>
    </row>
    <row r="42" spans="2:9" x14ac:dyDescent="0.35">
      <c r="B42" s="48" t="s">
        <v>109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20750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88125</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60000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150100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45800</v>
      </c>
      <c r="H42" s="217">
        <f t="shared" si="4"/>
        <v>364775</v>
      </c>
      <c r="I42" s="218"/>
    </row>
    <row r="43" spans="2:9" x14ac:dyDescent="0.35">
      <c r="B43" s="48" t="s">
        <v>110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17">
        <f t="shared" si="4"/>
        <v>0</v>
      </c>
      <c r="I43" s="218"/>
    </row>
    <row r="44" spans="2:9" x14ac:dyDescent="0.35">
      <c r="B44" s="48" t="s">
        <v>111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17">
        <f t="shared" si="4"/>
        <v>0</v>
      </c>
      <c r="I44" s="218"/>
    </row>
    <row r="45" spans="2:9" x14ac:dyDescent="0.35">
      <c r="B45" s="48" t="s">
        <v>112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17">
        <f t="shared" si="4"/>
        <v>0</v>
      </c>
      <c r="I45" s="218"/>
    </row>
    <row r="46" spans="2:9" x14ac:dyDescent="0.35">
      <c r="B46" s="48" t="s">
        <v>113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17">
        <f t="shared" si="4"/>
        <v>0</v>
      </c>
      <c r="I46" s="218"/>
    </row>
    <row r="47" spans="2:9" x14ac:dyDescent="0.35">
      <c r="B47" s="48" t="s">
        <v>114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17">
        <f t="shared" si="4"/>
        <v>0</v>
      </c>
      <c r="I47" s="218"/>
    </row>
    <row r="48" spans="2:9" x14ac:dyDescent="0.35">
      <c r="B48" s="48" t="s">
        <v>115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17">
        <f t="shared" si="4"/>
        <v>0</v>
      </c>
      <c r="I48" s="218"/>
    </row>
    <row r="49" spans="2:9" x14ac:dyDescent="0.35">
      <c r="B49" s="48" t="s">
        <v>116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17">
        <f t="shared" si="4"/>
        <v>0</v>
      </c>
      <c r="I49" s="218"/>
    </row>
    <row r="50" spans="2:9" x14ac:dyDescent="0.35">
      <c r="B50" s="48" t="s">
        <v>117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17">
        <f t="shared" si="4"/>
        <v>0</v>
      </c>
      <c r="I50" s="218"/>
    </row>
    <row r="51" spans="2:9" x14ac:dyDescent="0.35">
      <c r="B51" s="48" t="s">
        <v>118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17">
        <f t="shared" si="4"/>
        <v>0</v>
      </c>
      <c r="I51" s="218"/>
    </row>
    <row r="52" spans="2:9" x14ac:dyDescent="0.35">
      <c r="B52" s="48" t="s">
        <v>119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17">
        <f t="shared" si="4"/>
        <v>0</v>
      </c>
      <c r="I52" s="218"/>
    </row>
    <row r="53" spans="2:9" x14ac:dyDescent="0.35">
      <c r="B53" s="48" t="s">
        <v>120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17">
        <f t="shared" si="4"/>
        <v>0</v>
      </c>
      <c r="I53" s="218"/>
    </row>
    <row r="54" spans="2:9" x14ac:dyDescent="0.35">
      <c r="B54" s="48" t="s">
        <v>121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17">
        <f t="shared" si="4"/>
        <v>0</v>
      </c>
      <c r="I54" s="218"/>
    </row>
    <row r="55" spans="2:9" x14ac:dyDescent="0.35">
      <c r="B55" s="48" t="s">
        <v>122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17">
        <f t="shared" si="4"/>
        <v>0</v>
      </c>
      <c r="I55" s="218"/>
    </row>
    <row r="56" spans="2:9" x14ac:dyDescent="0.35">
      <c r="B56" s="48" t="s">
        <v>123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17">
        <f t="shared" si="4"/>
        <v>0</v>
      </c>
      <c r="I56" s="218"/>
    </row>
    <row r="57" spans="2:9" x14ac:dyDescent="0.35">
      <c r="B57" s="48" t="s">
        <v>124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17">
        <f t="shared" si="4"/>
        <v>0</v>
      </c>
      <c r="I57" s="218"/>
    </row>
    <row r="58" spans="2:9" x14ac:dyDescent="0.35">
      <c r="B58" s="48" t="s">
        <v>125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17">
        <f t="shared" si="4"/>
        <v>0</v>
      </c>
      <c r="I58" s="218"/>
    </row>
    <row r="59" spans="2:9" x14ac:dyDescent="0.35">
      <c r="B59" s="48" t="s">
        <v>126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17">
        <f t="shared" si="4"/>
        <v>0</v>
      </c>
      <c r="I59" s="218"/>
    </row>
    <row r="60" spans="2:9" x14ac:dyDescent="0.35">
      <c r="B60" s="48" t="s">
        <v>127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17">
        <f t="shared" si="4"/>
        <v>0</v>
      </c>
      <c r="I60" s="218"/>
    </row>
    <row r="61" spans="2:9" x14ac:dyDescent="0.35">
      <c r="B61" s="48" t="s">
        <v>128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17">
        <f t="shared" si="4"/>
        <v>0</v>
      </c>
      <c r="I61" s="218"/>
    </row>
    <row r="62" spans="2:9" x14ac:dyDescent="0.35">
      <c r="B62" s="48" t="s">
        <v>137</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17">
        <f t="shared" si="4"/>
        <v>0</v>
      </c>
      <c r="I62" s="218"/>
    </row>
    <row r="63" spans="2:9" x14ac:dyDescent="0.35">
      <c r="B63" s="48" t="s">
        <v>138</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17">
        <f t="shared" si="4"/>
        <v>0</v>
      </c>
      <c r="I63" s="218"/>
    </row>
    <row r="64" spans="2:9" x14ac:dyDescent="0.35">
      <c r="B64" s="48" t="s">
        <v>139</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17">
        <f t="shared" si="4"/>
        <v>0</v>
      </c>
      <c r="I64" s="218"/>
    </row>
    <row r="65" spans="2:9" x14ac:dyDescent="0.35">
      <c r="B65" s="48" t="s">
        <v>140</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17">
        <f t="shared" si="4"/>
        <v>0</v>
      </c>
      <c r="I65" s="218"/>
    </row>
    <row r="66" spans="2:9" x14ac:dyDescent="0.35">
      <c r="B66" s="48" t="s">
        <v>141</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17">
        <f t="shared" si="4"/>
        <v>0</v>
      </c>
      <c r="I66" s="218"/>
    </row>
    <row r="67" spans="2:9" x14ac:dyDescent="0.35">
      <c r="B67" s="48" t="s">
        <v>142</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17">
        <f t="shared" si="4"/>
        <v>0</v>
      </c>
      <c r="I67" s="218"/>
    </row>
    <row r="68" spans="2:9" x14ac:dyDescent="0.35">
      <c r="B68" s="48" t="s">
        <v>143</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17">
        <f t="shared" si="4"/>
        <v>0</v>
      </c>
      <c r="I68" s="218"/>
    </row>
    <row r="69" spans="2:9" x14ac:dyDescent="0.35">
      <c r="B69" s="48" t="s">
        <v>144</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17">
        <f t="shared" si="4"/>
        <v>0</v>
      </c>
      <c r="I69" s="218"/>
    </row>
    <row r="70" spans="2:9" x14ac:dyDescent="0.35">
      <c r="B70" s="48" t="s">
        <v>145</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17">
        <f t="shared" si="4"/>
        <v>0</v>
      </c>
      <c r="I70" s="218"/>
    </row>
    <row r="71" spans="2:9" x14ac:dyDescent="0.35">
      <c r="B71" s="48" t="s">
        <v>146</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17">
        <f t="shared" si="4"/>
        <v>0</v>
      </c>
      <c r="I71" s="218"/>
    </row>
    <row r="72" spans="2:9" x14ac:dyDescent="0.35">
      <c r="B72" s="48" t="s">
        <v>157</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17">
        <f t="shared" si="4"/>
        <v>0</v>
      </c>
      <c r="I72" s="218"/>
    </row>
    <row r="73" spans="2:9" x14ac:dyDescent="0.35">
      <c r="B73" s="48" t="s">
        <v>158</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17">
        <f t="shared" si="4"/>
        <v>0</v>
      </c>
      <c r="I73" s="218"/>
    </row>
    <row r="74" spans="2:9" x14ac:dyDescent="0.35">
      <c r="B74" s="48" t="s">
        <v>159</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17">
        <f t="shared" si="4"/>
        <v>0</v>
      </c>
      <c r="I74" s="218"/>
    </row>
    <row r="75" spans="2:9" x14ac:dyDescent="0.35">
      <c r="B75" s="48" t="s">
        <v>160</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17">
        <f t="shared" si="4"/>
        <v>0</v>
      </c>
      <c r="I75" s="218"/>
    </row>
    <row r="76" spans="2:9" x14ac:dyDescent="0.35">
      <c r="B76" s="48" t="s">
        <v>161</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17">
        <f t="shared" si="4"/>
        <v>0</v>
      </c>
      <c r="I76" s="218"/>
    </row>
    <row r="77" spans="2:9" x14ac:dyDescent="0.35">
      <c r="B77" s="48" t="s">
        <v>1</v>
      </c>
      <c r="C77" s="23">
        <f>SUM(C22:C76)</f>
        <v>28710</v>
      </c>
      <c r="D77" s="23">
        <f t="shared" ref="D77:G77" si="5">SUM(D22:D76)</f>
        <v>243795</v>
      </c>
      <c r="E77" s="23">
        <f t="shared" si="5"/>
        <v>160930</v>
      </c>
      <c r="F77" s="23">
        <f t="shared" si="5"/>
        <v>272270</v>
      </c>
      <c r="G77" s="23">
        <f t="shared" si="5"/>
        <v>248430</v>
      </c>
      <c r="H77" s="217">
        <f>SUM(C77:G77)</f>
        <v>954135</v>
      </c>
      <c r="I77" s="218"/>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17" priority="139" stopIfTrue="1" operator="equal">
      <formula>"&gt; 30 %"</formula>
    </cfRule>
  </conditionalFormatting>
  <conditionalFormatting sqref="C4:E4 D14:E14">
    <cfRule type="cellIs" dxfId="16" priority="52" stopIfTrue="1" operator="equal">
      <formula>"ERROR"</formula>
    </cfRule>
  </conditionalFormatting>
  <conditionalFormatting sqref="F4">
    <cfRule type="cellIs" dxfId="15" priority="50" stopIfTrue="1" operator="equal">
      <formula>"ERROR"</formula>
    </cfRule>
  </conditionalFormatting>
  <conditionalFormatting sqref="G4">
    <cfRule type="cellIs" dxfId="14" priority="49" stopIfTrue="1" operator="equal">
      <formula>"ERROR"</formula>
    </cfRule>
  </conditionalFormatting>
  <conditionalFormatting sqref="I4">
    <cfRule type="cellIs" dxfId="13" priority="48" stopIfTrue="1" operator="equal">
      <formula>"ERROR"</formula>
    </cfRule>
  </conditionalFormatting>
  <conditionalFormatting sqref="B12">
    <cfRule type="cellIs" dxfId="12" priority="33" stopIfTrue="1" operator="equal">
      <formula>"&gt; 30 %"</formula>
    </cfRule>
  </conditionalFormatting>
  <conditionalFormatting sqref="B10">
    <cfRule type="cellIs" dxfId="11" priority="29" stopIfTrue="1" operator="equal">
      <formula>"ERROR"</formula>
    </cfRule>
  </conditionalFormatting>
  <conditionalFormatting sqref="B17">
    <cfRule type="cellIs" dxfId="10" priority="28" stopIfTrue="1" operator="equal">
      <formula>"ERROR"</formula>
    </cfRule>
  </conditionalFormatting>
  <conditionalFormatting sqref="C14">
    <cfRule type="cellIs" dxfId="9" priority="19" stopIfTrue="1" operator="equal">
      <formula>"ERROR"</formula>
    </cfRule>
  </conditionalFormatting>
  <conditionalFormatting sqref="F14">
    <cfRule type="cellIs" dxfId="8" priority="17" stopIfTrue="1" operator="equal">
      <formula>"ERROR"</formula>
    </cfRule>
  </conditionalFormatting>
  <conditionalFormatting sqref="G14">
    <cfRule type="cellIs" dxfId="7" priority="16" stopIfTrue="1" operator="equal">
      <formula>"ERROR"</formula>
    </cfRule>
  </conditionalFormatting>
  <conditionalFormatting sqref="B19">
    <cfRule type="cellIs" dxfId="6" priority="14" stopIfTrue="1" operator="equal">
      <formula>"&gt; 30 %"</formula>
    </cfRule>
  </conditionalFormatting>
  <conditionalFormatting sqref="H21">
    <cfRule type="cellIs" dxfId="5" priority="11" stopIfTrue="1" operator="equal">
      <formula>"ERROR"</formula>
    </cfRule>
  </conditionalFormatting>
  <conditionalFormatting sqref="H4">
    <cfRule type="cellIs" dxfId="4" priority="3" stopIfTrue="1" operator="equal">
      <formula>"ERROR"</formula>
    </cfRule>
  </conditionalFormatting>
  <conditionalFormatting sqref="H14">
    <cfRule type="cellIs" dxfId="3" priority="2" stopIfTrue="1" operator="equal">
      <formula>"ERROR"</formula>
    </cfRule>
  </conditionalFormatting>
  <conditionalFormatting sqref="I14">
    <cfRule type="cellIs" dxfId="2"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28" t="s">
        <v>359</v>
      </c>
      <c r="C1" s="229"/>
      <c r="D1" s="229"/>
      <c r="E1" s="229"/>
      <c r="F1" s="229"/>
      <c r="G1" s="229"/>
      <c r="H1" s="229"/>
      <c r="I1" s="229"/>
      <c r="J1" s="229"/>
      <c r="K1" s="229"/>
      <c r="L1" s="229"/>
      <c r="M1" s="229"/>
      <c r="N1" s="229"/>
      <c r="O1" s="229"/>
      <c r="P1" s="229"/>
      <c r="Q1" s="229"/>
      <c r="R1" s="229"/>
      <c r="S1" s="229"/>
      <c r="T1" s="229"/>
      <c r="U1" s="229"/>
    </row>
    <row r="2" spans="2:21" ht="33" customHeight="1" x14ac:dyDescent="0.25">
      <c r="B2" s="54" t="s">
        <v>348</v>
      </c>
      <c r="C2" s="98" t="s">
        <v>357</v>
      </c>
      <c r="D2" s="97"/>
      <c r="E2" s="97"/>
      <c r="F2" s="97"/>
      <c r="G2" s="97"/>
      <c r="H2" s="97"/>
      <c r="I2" s="97"/>
      <c r="J2" s="97"/>
      <c r="K2" s="55"/>
      <c r="L2" s="55"/>
      <c r="M2" s="55"/>
      <c r="N2" s="55"/>
      <c r="O2" s="55"/>
      <c r="P2" s="55"/>
      <c r="Q2" s="55"/>
      <c r="R2" s="55"/>
      <c r="S2" s="55"/>
      <c r="T2" s="55"/>
      <c r="U2" s="55"/>
    </row>
    <row r="3" spans="2:21" ht="33" customHeight="1" x14ac:dyDescent="0.25">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3">
      <c r="B4" s="230" t="s">
        <v>225</v>
      </c>
      <c r="C4" s="230"/>
      <c r="D4" s="230"/>
      <c r="E4" s="230"/>
      <c r="F4" s="230"/>
      <c r="G4" s="230"/>
      <c r="I4" s="230" t="s">
        <v>226</v>
      </c>
      <c r="J4" s="230"/>
      <c r="L4" s="230" t="s">
        <v>227</v>
      </c>
      <c r="M4" s="230"/>
      <c r="N4" s="230"/>
      <c r="P4" s="230" t="s">
        <v>228</v>
      </c>
      <c r="Q4" s="230"/>
      <c r="S4" s="230" t="s">
        <v>229</v>
      </c>
      <c r="T4" s="230"/>
      <c r="U4" s="230"/>
    </row>
    <row r="5" spans="2:21" s="58" customFormat="1" ht="157.5" customHeight="1" x14ac:dyDescent="0.3">
      <c r="B5" s="222" t="s">
        <v>334</v>
      </c>
      <c r="C5" s="223"/>
      <c r="D5" s="223"/>
      <c r="E5" s="223"/>
      <c r="F5" s="223"/>
      <c r="G5" s="224"/>
      <c r="I5" s="222" t="s">
        <v>315</v>
      </c>
      <c r="J5" s="224"/>
      <c r="L5" s="222" t="s">
        <v>335</v>
      </c>
      <c r="M5" s="223"/>
      <c r="N5" s="224"/>
      <c r="P5" s="222" t="s">
        <v>312</v>
      </c>
      <c r="Q5" s="224"/>
      <c r="S5" s="222" t="s">
        <v>316</v>
      </c>
      <c r="T5" s="223"/>
      <c r="U5" s="224"/>
    </row>
    <row r="6" spans="2:21" s="59" customFormat="1" ht="80.25" customHeight="1" x14ac:dyDescent="0.3">
      <c r="B6" s="225"/>
      <c r="C6" s="226"/>
      <c r="D6" s="226"/>
      <c r="E6" s="226"/>
      <c r="F6" s="226"/>
      <c r="G6" s="227"/>
      <c r="I6" s="225"/>
      <c r="J6" s="227"/>
      <c r="L6" s="225"/>
      <c r="M6" s="226"/>
      <c r="N6" s="227"/>
      <c r="P6" s="225"/>
      <c r="Q6" s="227"/>
      <c r="S6" s="225"/>
      <c r="T6" s="226"/>
      <c r="U6" s="227"/>
    </row>
    <row r="7" spans="2:21" ht="82.5" customHeight="1" x14ac:dyDescent="0.25">
      <c r="B7" s="60" t="s">
        <v>0</v>
      </c>
      <c r="C7" s="60" t="s">
        <v>176</v>
      </c>
      <c r="D7" s="60" t="s">
        <v>131</v>
      </c>
      <c r="E7" s="61" t="s">
        <v>129</v>
      </c>
      <c r="F7" s="61" t="s">
        <v>314</v>
      </c>
      <c r="G7" s="61" t="s">
        <v>313</v>
      </c>
      <c r="I7" s="61" t="s">
        <v>27</v>
      </c>
      <c r="J7" s="61" t="s">
        <v>171</v>
      </c>
      <c r="L7" s="61" t="s">
        <v>215</v>
      </c>
      <c r="M7" s="61" t="s">
        <v>210</v>
      </c>
      <c r="N7" s="61" t="s">
        <v>208</v>
      </c>
      <c r="P7" s="219" t="s">
        <v>328</v>
      </c>
      <c r="Q7" s="220"/>
      <c r="S7" s="219" t="s">
        <v>329</v>
      </c>
      <c r="T7" s="221"/>
      <c r="U7" s="220"/>
    </row>
    <row r="8" spans="2:21" ht="15" customHeight="1" x14ac:dyDescent="0.25">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25">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25">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25">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25">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25">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25">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25">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25">
      <c r="B16" s="62" t="s">
        <v>34</v>
      </c>
      <c r="C16" s="62" t="s">
        <v>196</v>
      </c>
      <c r="D16" s="63">
        <v>280</v>
      </c>
      <c r="E16" s="63">
        <v>214</v>
      </c>
      <c r="F16" s="63">
        <v>162</v>
      </c>
      <c r="G16" s="63">
        <v>131</v>
      </c>
      <c r="J16" s="66"/>
      <c r="L16" s="65">
        <v>9</v>
      </c>
      <c r="M16" s="63">
        <f t="shared" si="0"/>
        <v>495</v>
      </c>
      <c r="N16" s="63">
        <f t="shared" si="1"/>
        <v>1080</v>
      </c>
      <c r="P16" s="67" t="s">
        <v>206</v>
      </c>
    </row>
    <row r="17" spans="2:16" x14ac:dyDescent="0.25">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25">
      <c r="B18" s="62" t="s">
        <v>35</v>
      </c>
      <c r="C18" s="62" t="s">
        <v>196</v>
      </c>
      <c r="D18" s="63">
        <v>280</v>
      </c>
      <c r="E18" s="63">
        <v>214</v>
      </c>
      <c r="F18" s="63">
        <v>162</v>
      </c>
      <c r="G18" s="63">
        <v>131</v>
      </c>
      <c r="L18" s="65">
        <v>11</v>
      </c>
      <c r="M18" s="63">
        <f t="shared" si="0"/>
        <v>605</v>
      </c>
      <c r="N18" s="63">
        <f t="shared" si="1"/>
        <v>1320</v>
      </c>
      <c r="P18" s="69" t="s">
        <v>210</v>
      </c>
    </row>
    <row r="19" spans="2:16" x14ac:dyDescent="0.25">
      <c r="B19" s="62" t="s">
        <v>36</v>
      </c>
      <c r="C19" s="62" t="s">
        <v>196</v>
      </c>
      <c r="D19" s="63">
        <v>280</v>
      </c>
      <c r="E19" s="63">
        <v>214</v>
      </c>
      <c r="F19" s="63">
        <v>162</v>
      </c>
      <c r="G19" s="63">
        <v>131</v>
      </c>
      <c r="L19" s="65">
        <v>12</v>
      </c>
      <c r="M19" s="63">
        <f t="shared" si="0"/>
        <v>660</v>
      </c>
      <c r="N19" s="63">
        <f t="shared" si="1"/>
        <v>1440</v>
      </c>
    </row>
    <row r="20" spans="2:16" ht="18" x14ac:dyDescent="0.25">
      <c r="B20" s="62" t="s">
        <v>41</v>
      </c>
      <c r="C20" s="62" t="s">
        <v>196</v>
      </c>
      <c r="D20" s="63">
        <v>164</v>
      </c>
      <c r="E20" s="63">
        <v>137</v>
      </c>
      <c r="F20" s="63">
        <v>102</v>
      </c>
      <c r="G20" s="63">
        <v>78</v>
      </c>
      <c r="L20" s="65">
        <v>13</v>
      </c>
      <c r="M20" s="63">
        <f t="shared" si="0"/>
        <v>715</v>
      </c>
      <c r="N20" s="63">
        <f t="shared" si="1"/>
        <v>1560</v>
      </c>
      <c r="P20" s="67" t="s">
        <v>346</v>
      </c>
    </row>
    <row r="21" spans="2:16" x14ac:dyDescent="0.25">
      <c r="B21" s="62" t="s">
        <v>48</v>
      </c>
      <c r="C21" s="62" t="s">
        <v>196</v>
      </c>
      <c r="D21" s="63">
        <v>88</v>
      </c>
      <c r="E21" s="63">
        <v>74</v>
      </c>
      <c r="F21" s="63">
        <v>55</v>
      </c>
      <c r="G21" s="63">
        <v>39</v>
      </c>
      <c r="L21" s="65">
        <v>14</v>
      </c>
      <c r="M21" s="63">
        <f t="shared" si="0"/>
        <v>770</v>
      </c>
      <c r="N21" s="63">
        <f t="shared" si="1"/>
        <v>1680</v>
      </c>
      <c r="P21" s="69" t="s">
        <v>347</v>
      </c>
    </row>
    <row r="22" spans="2:16" x14ac:dyDescent="0.25">
      <c r="B22" s="62" t="s">
        <v>37</v>
      </c>
      <c r="C22" s="62" t="s">
        <v>196</v>
      </c>
      <c r="D22" s="63">
        <v>280</v>
      </c>
      <c r="E22" s="63">
        <v>214</v>
      </c>
      <c r="F22" s="63">
        <v>162</v>
      </c>
      <c r="G22" s="63">
        <v>131</v>
      </c>
      <c r="L22" s="65">
        <v>15</v>
      </c>
      <c r="M22" s="70">
        <f>((L22-$L$21)*40)+770</f>
        <v>810</v>
      </c>
      <c r="N22" s="71">
        <f>((L22-$L$21)*70)+1680</f>
        <v>1750</v>
      </c>
      <c r="P22" s="89"/>
    </row>
    <row r="23" spans="2:16" x14ac:dyDescent="0.25">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25">
      <c r="B24" s="62" t="s">
        <v>38</v>
      </c>
      <c r="C24" s="62" t="s">
        <v>196</v>
      </c>
      <c r="D24" s="63">
        <v>280</v>
      </c>
      <c r="E24" s="63">
        <v>214</v>
      </c>
      <c r="F24" s="63">
        <v>162</v>
      </c>
      <c r="G24" s="63">
        <v>131</v>
      </c>
      <c r="L24" s="65">
        <v>17</v>
      </c>
      <c r="M24" s="70">
        <f t="shared" si="2"/>
        <v>890</v>
      </c>
      <c r="N24" s="71">
        <f t="shared" si="3"/>
        <v>1890</v>
      </c>
    </row>
    <row r="25" spans="2:16" x14ac:dyDescent="0.25">
      <c r="B25" s="62" t="s">
        <v>49</v>
      </c>
      <c r="C25" s="62" t="s">
        <v>196</v>
      </c>
      <c r="D25" s="63">
        <v>88</v>
      </c>
      <c r="E25" s="63">
        <v>74</v>
      </c>
      <c r="F25" s="63">
        <v>55</v>
      </c>
      <c r="G25" s="63">
        <v>39</v>
      </c>
      <c r="L25" s="65">
        <v>18</v>
      </c>
      <c r="M25" s="70">
        <f t="shared" si="2"/>
        <v>930</v>
      </c>
      <c r="N25" s="71">
        <f t="shared" si="3"/>
        <v>1960</v>
      </c>
    </row>
    <row r="26" spans="2:16" x14ac:dyDescent="0.25">
      <c r="B26" s="62" t="s">
        <v>30</v>
      </c>
      <c r="C26" s="62" t="s">
        <v>196</v>
      </c>
      <c r="D26" s="63">
        <v>294</v>
      </c>
      <c r="E26" s="63">
        <v>241</v>
      </c>
      <c r="F26" s="63">
        <v>190</v>
      </c>
      <c r="G26" s="63">
        <v>157</v>
      </c>
      <c r="L26" s="65">
        <v>19</v>
      </c>
      <c r="M26" s="70">
        <f t="shared" si="2"/>
        <v>970</v>
      </c>
      <c r="N26" s="71">
        <f t="shared" si="3"/>
        <v>2030</v>
      </c>
    </row>
    <row r="27" spans="2:16" x14ac:dyDescent="0.25">
      <c r="B27" s="62" t="s">
        <v>50</v>
      </c>
      <c r="C27" s="62" t="s">
        <v>196</v>
      </c>
      <c r="D27" s="63">
        <v>88</v>
      </c>
      <c r="E27" s="63">
        <v>74</v>
      </c>
      <c r="F27" s="63">
        <v>55</v>
      </c>
      <c r="G27" s="63">
        <v>39</v>
      </c>
      <c r="L27" s="65">
        <v>20</v>
      </c>
      <c r="M27" s="70">
        <f t="shared" si="2"/>
        <v>1010</v>
      </c>
      <c r="N27" s="71">
        <f t="shared" si="3"/>
        <v>2100</v>
      </c>
    </row>
    <row r="28" spans="2:16" x14ac:dyDescent="0.25">
      <c r="B28" s="62" t="s">
        <v>134</v>
      </c>
      <c r="C28" s="62" t="s">
        <v>196</v>
      </c>
      <c r="D28" s="63">
        <v>294</v>
      </c>
      <c r="E28" s="63">
        <v>241</v>
      </c>
      <c r="F28" s="63">
        <v>190</v>
      </c>
      <c r="G28" s="63">
        <v>157</v>
      </c>
      <c r="L28" s="65">
        <v>21</v>
      </c>
      <c r="M28" s="70">
        <f t="shared" si="2"/>
        <v>1050</v>
      </c>
      <c r="N28" s="71">
        <f t="shared" si="3"/>
        <v>2170</v>
      </c>
    </row>
    <row r="29" spans="2:16" x14ac:dyDescent="0.25">
      <c r="B29" s="62" t="s">
        <v>42</v>
      </c>
      <c r="C29" s="62" t="s">
        <v>196</v>
      </c>
      <c r="D29" s="63">
        <v>164</v>
      </c>
      <c r="E29" s="63">
        <v>137</v>
      </c>
      <c r="F29" s="63">
        <v>102</v>
      </c>
      <c r="G29" s="63">
        <v>78</v>
      </c>
      <c r="L29" s="65">
        <v>22</v>
      </c>
      <c r="M29" s="70">
        <f t="shared" si="2"/>
        <v>1090</v>
      </c>
      <c r="N29" s="71">
        <f t="shared" si="3"/>
        <v>2240</v>
      </c>
    </row>
    <row r="30" spans="2:16" x14ac:dyDescent="0.25">
      <c r="B30" s="62" t="s">
        <v>31</v>
      </c>
      <c r="C30" s="62" t="s">
        <v>196</v>
      </c>
      <c r="D30" s="63">
        <v>294</v>
      </c>
      <c r="E30" s="63">
        <v>241</v>
      </c>
      <c r="F30" s="63">
        <v>190</v>
      </c>
      <c r="G30" s="63">
        <v>157</v>
      </c>
      <c r="L30" s="65">
        <v>23</v>
      </c>
      <c r="M30" s="70">
        <f t="shared" si="2"/>
        <v>1130</v>
      </c>
      <c r="N30" s="71">
        <f t="shared" si="3"/>
        <v>2310</v>
      </c>
    </row>
    <row r="31" spans="2:16" x14ac:dyDescent="0.25">
      <c r="B31" s="62" t="s">
        <v>32</v>
      </c>
      <c r="C31" s="62" t="s">
        <v>196</v>
      </c>
      <c r="D31" s="63">
        <v>294</v>
      </c>
      <c r="E31" s="63">
        <v>241</v>
      </c>
      <c r="F31" s="63">
        <v>190</v>
      </c>
      <c r="G31" s="63">
        <v>157</v>
      </c>
      <c r="L31" s="65">
        <v>24</v>
      </c>
      <c r="M31" s="70">
        <f t="shared" si="2"/>
        <v>1170</v>
      </c>
      <c r="N31" s="71">
        <f t="shared" si="3"/>
        <v>2380</v>
      </c>
    </row>
    <row r="32" spans="2:16" x14ac:dyDescent="0.25">
      <c r="B32" s="62" t="s">
        <v>51</v>
      </c>
      <c r="C32" s="62" t="s">
        <v>196</v>
      </c>
      <c r="D32" s="63">
        <v>88</v>
      </c>
      <c r="E32" s="63">
        <v>74</v>
      </c>
      <c r="F32" s="63">
        <v>55</v>
      </c>
      <c r="G32" s="63">
        <v>39</v>
      </c>
      <c r="L32" s="65">
        <v>25</v>
      </c>
      <c r="M32" s="70">
        <f t="shared" si="2"/>
        <v>1210</v>
      </c>
      <c r="N32" s="71">
        <f t="shared" si="3"/>
        <v>2450</v>
      </c>
    </row>
    <row r="33" spans="2:14" x14ac:dyDescent="0.25">
      <c r="B33" s="62" t="s">
        <v>43</v>
      </c>
      <c r="C33" s="62" t="s">
        <v>196</v>
      </c>
      <c r="D33" s="63">
        <v>164</v>
      </c>
      <c r="E33" s="63">
        <v>137</v>
      </c>
      <c r="F33" s="63">
        <v>102</v>
      </c>
      <c r="G33" s="63">
        <v>78</v>
      </c>
      <c r="L33" s="65">
        <v>26</v>
      </c>
      <c r="M33" s="70">
        <f t="shared" si="2"/>
        <v>1250</v>
      </c>
      <c r="N33" s="71">
        <f t="shared" si="3"/>
        <v>2520</v>
      </c>
    </row>
    <row r="34" spans="2:14" x14ac:dyDescent="0.25">
      <c r="B34" s="62" t="s">
        <v>52</v>
      </c>
      <c r="C34" s="62" t="s">
        <v>196</v>
      </c>
      <c r="D34" s="63">
        <v>88</v>
      </c>
      <c r="E34" s="63">
        <v>74</v>
      </c>
      <c r="F34" s="63">
        <v>55</v>
      </c>
      <c r="G34" s="63">
        <v>39</v>
      </c>
      <c r="L34" s="65">
        <v>27</v>
      </c>
      <c r="M34" s="70">
        <f t="shared" si="2"/>
        <v>1290</v>
      </c>
      <c r="N34" s="71">
        <f t="shared" si="3"/>
        <v>2590</v>
      </c>
    </row>
    <row r="35" spans="2:14" x14ac:dyDescent="0.25">
      <c r="B35" s="62" t="s">
        <v>98</v>
      </c>
      <c r="C35" s="62" t="s">
        <v>196</v>
      </c>
      <c r="D35" s="63">
        <v>88</v>
      </c>
      <c r="E35" s="63">
        <v>74</v>
      </c>
      <c r="F35" s="63">
        <v>55</v>
      </c>
      <c r="G35" s="63">
        <v>39</v>
      </c>
      <c r="L35" s="65">
        <v>28</v>
      </c>
      <c r="M35" s="70">
        <f t="shared" si="2"/>
        <v>1330</v>
      </c>
      <c r="N35" s="71">
        <f t="shared" si="3"/>
        <v>2660</v>
      </c>
    </row>
    <row r="36" spans="2:14" x14ac:dyDescent="0.25">
      <c r="B36" s="62" t="s">
        <v>153</v>
      </c>
      <c r="C36" s="62" t="s">
        <v>196</v>
      </c>
      <c r="D36" s="63">
        <v>88</v>
      </c>
      <c r="E36" s="63">
        <v>74</v>
      </c>
      <c r="F36" s="63">
        <v>55</v>
      </c>
      <c r="G36" s="63">
        <v>39</v>
      </c>
      <c r="L36" s="65">
        <v>29</v>
      </c>
      <c r="M36" s="70">
        <f t="shared" si="2"/>
        <v>1370</v>
      </c>
      <c r="N36" s="71">
        <f t="shared" si="3"/>
        <v>2730</v>
      </c>
    </row>
    <row r="37" spans="2:14" x14ac:dyDescent="0.25">
      <c r="B37" s="62" t="s">
        <v>44</v>
      </c>
      <c r="C37" s="62" t="s">
        <v>196</v>
      </c>
      <c r="D37" s="63">
        <v>164</v>
      </c>
      <c r="E37" s="63">
        <v>137</v>
      </c>
      <c r="F37" s="63">
        <v>102</v>
      </c>
      <c r="G37" s="63">
        <v>78</v>
      </c>
      <c r="L37" s="65">
        <v>30</v>
      </c>
      <c r="M37" s="70">
        <f t="shared" si="2"/>
        <v>1410</v>
      </c>
      <c r="N37" s="71">
        <f t="shared" si="3"/>
        <v>2800</v>
      </c>
    </row>
    <row r="38" spans="2:14" x14ac:dyDescent="0.25">
      <c r="B38" s="62" t="s">
        <v>45</v>
      </c>
      <c r="C38" s="62" t="s">
        <v>196</v>
      </c>
      <c r="D38" s="63">
        <v>164</v>
      </c>
      <c r="E38" s="63">
        <v>137</v>
      </c>
      <c r="F38" s="63">
        <v>102</v>
      </c>
      <c r="G38" s="63">
        <v>78</v>
      </c>
      <c r="L38" s="65">
        <v>31</v>
      </c>
      <c r="M38" s="70">
        <f t="shared" si="2"/>
        <v>1450</v>
      </c>
      <c r="N38" s="71">
        <f t="shared" si="3"/>
        <v>2870</v>
      </c>
    </row>
    <row r="39" spans="2:14" x14ac:dyDescent="0.25">
      <c r="B39" s="62" t="s">
        <v>33</v>
      </c>
      <c r="C39" s="62" t="s">
        <v>196</v>
      </c>
      <c r="D39" s="63">
        <v>294</v>
      </c>
      <c r="E39" s="63">
        <v>241</v>
      </c>
      <c r="F39" s="63">
        <v>190</v>
      </c>
      <c r="G39" s="63">
        <v>157</v>
      </c>
      <c r="L39" s="65">
        <v>32</v>
      </c>
      <c r="M39" s="70">
        <f t="shared" si="2"/>
        <v>1490</v>
      </c>
      <c r="N39" s="71">
        <f t="shared" si="3"/>
        <v>2940</v>
      </c>
    </row>
    <row r="40" spans="2:14" x14ac:dyDescent="0.25">
      <c r="B40" s="62" t="s">
        <v>53</v>
      </c>
      <c r="C40" s="62" t="s">
        <v>196</v>
      </c>
      <c r="D40" s="63">
        <v>88</v>
      </c>
      <c r="E40" s="63">
        <v>74</v>
      </c>
      <c r="F40" s="63">
        <v>55</v>
      </c>
      <c r="G40" s="63">
        <v>39</v>
      </c>
      <c r="L40" s="65">
        <v>33</v>
      </c>
      <c r="M40" s="70">
        <f t="shared" si="2"/>
        <v>1530</v>
      </c>
      <c r="N40" s="71">
        <f t="shared" si="3"/>
        <v>3010</v>
      </c>
    </row>
    <row r="41" spans="2:14" x14ac:dyDescent="0.25">
      <c r="B41" s="62" t="s">
        <v>39</v>
      </c>
      <c r="C41" s="62" t="s">
        <v>196</v>
      </c>
      <c r="D41" s="63">
        <v>280</v>
      </c>
      <c r="E41" s="63">
        <v>214</v>
      </c>
      <c r="F41" s="63">
        <v>162</v>
      </c>
      <c r="G41" s="63">
        <v>131</v>
      </c>
      <c r="L41" s="65">
        <v>34</v>
      </c>
      <c r="M41" s="70">
        <f t="shared" si="2"/>
        <v>1570</v>
      </c>
      <c r="N41" s="71">
        <f t="shared" si="3"/>
        <v>3080</v>
      </c>
    </row>
    <row r="42" spans="2:14" x14ac:dyDescent="0.25">
      <c r="B42" s="64" t="s">
        <v>7</v>
      </c>
      <c r="C42" s="64" t="s">
        <v>197</v>
      </c>
      <c r="D42" s="72">
        <v>77</v>
      </c>
      <c r="E42" s="72">
        <v>57</v>
      </c>
      <c r="F42" s="72">
        <v>40</v>
      </c>
      <c r="G42" s="72">
        <v>32</v>
      </c>
      <c r="L42" s="65">
        <v>35</v>
      </c>
      <c r="M42" s="70">
        <f t="shared" si="2"/>
        <v>1610</v>
      </c>
      <c r="N42" s="71">
        <f t="shared" si="3"/>
        <v>3150</v>
      </c>
    </row>
    <row r="43" spans="2:14" x14ac:dyDescent="0.25">
      <c r="B43" s="64" t="s">
        <v>55</v>
      </c>
      <c r="C43" s="64" t="s">
        <v>197</v>
      </c>
      <c r="D43" s="72">
        <v>108</v>
      </c>
      <c r="E43" s="72">
        <v>80</v>
      </c>
      <c r="F43" s="72">
        <v>57</v>
      </c>
      <c r="G43" s="72">
        <v>45</v>
      </c>
      <c r="L43" s="65">
        <v>36</v>
      </c>
      <c r="M43" s="70">
        <f t="shared" si="2"/>
        <v>1650</v>
      </c>
      <c r="N43" s="71">
        <f t="shared" si="3"/>
        <v>3220</v>
      </c>
    </row>
    <row r="44" spans="2:14" x14ac:dyDescent="0.25">
      <c r="B44" s="64" t="s">
        <v>56</v>
      </c>
      <c r="C44" s="64" t="s">
        <v>197</v>
      </c>
      <c r="D44" s="72">
        <v>47</v>
      </c>
      <c r="E44" s="72">
        <v>33</v>
      </c>
      <c r="F44" s="72">
        <v>22</v>
      </c>
      <c r="G44" s="72">
        <v>17</v>
      </c>
      <c r="L44" s="65">
        <v>37</v>
      </c>
      <c r="M44" s="70">
        <f t="shared" si="2"/>
        <v>1690</v>
      </c>
      <c r="N44" s="71">
        <f t="shared" si="3"/>
        <v>3290</v>
      </c>
    </row>
    <row r="45" spans="2:14" x14ac:dyDescent="0.25">
      <c r="B45" s="64" t="s">
        <v>231</v>
      </c>
      <c r="C45" s="64" t="s">
        <v>197</v>
      </c>
      <c r="D45" s="72">
        <v>108</v>
      </c>
      <c r="E45" s="72">
        <v>80</v>
      </c>
      <c r="F45" s="72">
        <v>57</v>
      </c>
      <c r="G45" s="72">
        <v>45</v>
      </c>
      <c r="L45" s="65">
        <v>38</v>
      </c>
      <c r="M45" s="70">
        <f t="shared" si="2"/>
        <v>1730</v>
      </c>
      <c r="N45" s="71">
        <f t="shared" si="3"/>
        <v>3360</v>
      </c>
    </row>
    <row r="46" spans="2:14" x14ac:dyDescent="0.25">
      <c r="B46" s="64" t="s">
        <v>232</v>
      </c>
      <c r="C46" s="64" t="s">
        <v>197</v>
      </c>
      <c r="D46" s="72">
        <v>108</v>
      </c>
      <c r="E46" s="72">
        <v>80</v>
      </c>
      <c r="F46" s="72">
        <v>57</v>
      </c>
      <c r="G46" s="72">
        <v>45</v>
      </c>
      <c r="L46" s="65">
        <v>39</v>
      </c>
      <c r="M46" s="70">
        <f t="shared" si="2"/>
        <v>1770</v>
      </c>
      <c r="N46" s="71">
        <f t="shared" si="3"/>
        <v>3430</v>
      </c>
    </row>
    <row r="47" spans="2:14" x14ac:dyDescent="0.25">
      <c r="B47" s="64" t="s">
        <v>57</v>
      </c>
      <c r="C47" s="64" t="s">
        <v>197</v>
      </c>
      <c r="D47" s="72">
        <v>108</v>
      </c>
      <c r="E47" s="72">
        <v>80</v>
      </c>
      <c r="F47" s="72">
        <v>57</v>
      </c>
      <c r="G47" s="72">
        <v>45</v>
      </c>
      <c r="L47" s="65">
        <v>40</v>
      </c>
      <c r="M47" s="70">
        <f t="shared" si="2"/>
        <v>1810</v>
      </c>
      <c r="N47" s="71">
        <f t="shared" si="3"/>
        <v>3500</v>
      </c>
    </row>
    <row r="48" spans="2:14" x14ac:dyDescent="0.25">
      <c r="B48" s="64" t="s">
        <v>58</v>
      </c>
      <c r="C48" s="64" t="s">
        <v>197</v>
      </c>
      <c r="D48" s="72">
        <v>47</v>
      </c>
      <c r="E48" s="72">
        <v>33</v>
      </c>
      <c r="F48" s="72">
        <v>22</v>
      </c>
      <c r="G48" s="72">
        <v>17</v>
      </c>
      <c r="L48" s="65">
        <v>41</v>
      </c>
      <c r="M48" s="70">
        <f t="shared" si="2"/>
        <v>1850</v>
      </c>
      <c r="N48" s="71">
        <f t="shared" si="3"/>
        <v>3570</v>
      </c>
    </row>
    <row r="49" spans="2:14" x14ac:dyDescent="0.25">
      <c r="B49" s="64" t="s">
        <v>59</v>
      </c>
      <c r="C49" s="64" t="s">
        <v>197</v>
      </c>
      <c r="D49" s="72">
        <v>77</v>
      </c>
      <c r="E49" s="72">
        <v>57</v>
      </c>
      <c r="F49" s="72">
        <v>40</v>
      </c>
      <c r="G49" s="72">
        <v>32</v>
      </c>
      <c r="L49" s="65">
        <v>42</v>
      </c>
      <c r="M49" s="70">
        <f t="shared" si="2"/>
        <v>1890</v>
      </c>
      <c r="N49" s="71">
        <f t="shared" si="3"/>
        <v>3640</v>
      </c>
    </row>
    <row r="50" spans="2:14" x14ac:dyDescent="0.25">
      <c r="B50" s="64" t="s">
        <v>233</v>
      </c>
      <c r="C50" s="64" t="s">
        <v>197</v>
      </c>
      <c r="D50" s="72">
        <v>77</v>
      </c>
      <c r="E50" s="72">
        <v>57</v>
      </c>
      <c r="F50" s="72">
        <v>40</v>
      </c>
      <c r="G50" s="72">
        <v>32</v>
      </c>
      <c r="L50" s="65">
        <v>43</v>
      </c>
      <c r="M50" s="70">
        <f t="shared" si="2"/>
        <v>1930</v>
      </c>
      <c r="N50" s="71">
        <f t="shared" si="3"/>
        <v>3710</v>
      </c>
    </row>
    <row r="51" spans="2:14" x14ac:dyDescent="0.25">
      <c r="B51" s="64" t="s">
        <v>60</v>
      </c>
      <c r="C51" s="64" t="s">
        <v>197</v>
      </c>
      <c r="D51" s="72">
        <v>47</v>
      </c>
      <c r="E51" s="72">
        <v>33</v>
      </c>
      <c r="F51" s="72">
        <v>22</v>
      </c>
      <c r="G51" s="72">
        <v>17</v>
      </c>
      <c r="L51" s="65">
        <v>44</v>
      </c>
      <c r="M51" s="70">
        <f t="shared" si="2"/>
        <v>1970</v>
      </c>
      <c r="N51" s="71">
        <f t="shared" si="3"/>
        <v>3780</v>
      </c>
    </row>
    <row r="52" spans="2:14" x14ac:dyDescent="0.25">
      <c r="B52" s="64" t="s">
        <v>234</v>
      </c>
      <c r="C52" s="64" t="s">
        <v>197</v>
      </c>
      <c r="D52" s="72">
        <v>108</v>
      </c>
      <c r="E52" s="72">
        <v>80</v>
      </c>
      <c r="F52" s="72">
        <v>57</v>
      </c>
      <c r="G52" s="72">
        <v>45</v>
      </c>
      <c r="L52" s="65">
        <v>45</v>
      </c>
      <c r="M52" s="70">
        <f t="shared" si="2"/>
        <v>2010</v>
      </c>
      <c r="N52" s="71">
        <f t="shared" si="3"/>
        <v>3850</v>
      </c>
    </row>
    <row r="53" spans="2:14" x14ac:dyDescent="0.25">
      <c r="B53" s="64" t="s">
        <v>61</v>
      </c>
      <c r="C53" s="64" t="s">
        <v>197</v>
      </c>
      <c r="D53" s="72">
        <v>47</v>
      </c>
      <c r="E53" s="72">
        <v>33</v>
      </c>
      <c r="F53" s="72">
        <v>22</v>
      </c>
      <c r="G53" s="72">
        <v>17</v>
      </c>
      <c r="L53" s="65">
        <v>46</v>
      </c>
      <c r="M53" s="70">
        <f t="shared" si="2"/>
        <v>2050</v>
      </c>
      <c r="N53" s="71">
        <f t="shared" si="3"/>
        <v>3920</v>
      </c>
    </row>
    <row r="54" spans="2:14" x14ac:dyDescent="0.25">
      <c r="B54" s="64" t="s">
        <v>235</v>
      </c>
      <c r="C54" s="64" t="s">
        <v>197</v>
      </c>
      <c r="D54" s="72">
        <v>47</v>
      </c>
      <c r="E54" s="72">
        <v>33</v>
      </c>
      <c r="F54" s="72">
        <v>22</v>
      </c>
      <c r="G54" s="72">
        <v>17</v>
      </c>
      <c r="L54" s="65">
        <v>47</v>
      </c>
      <c r="M54" s="70">
        <f t="shared" si="2"/>
        <v>2090</v>
      </c>
      <c r="N54" s="71">
        <f t="shared" si="3"/>
        <v>3990</v>
      </c>
    </row>
    <row r="55" spans="2:14" x14ac:dyDescent="0.25">
      <c r="B55" s="64" t="s">
        <v>236</v>
      </c>
      <c r="C55" s="64" t="s">
        <v>197</v>
      </c>
      <c r="D55" s="72">
        <v>47</v>
      </c>
      <c r="E55" s="72">
        <v>33</v>
      </c>
      <c r="F55" s="72">
        <v>22</v>
      </c>
      <c r="G55" s="72">
        <v>17</v>
      </c>
      <c r="L55" s="65">
        <v>48</v>
      </c>
      <c r="M55" s="70">
        <f t="shared" si="2"/>
        <v>2130</v>
      </c>
      <c r="N55" s="71">
        <f t="shared" si="3"/>
        <v>4060</v>
      </c>
    </row>
    <row r="56" spans="2:14" x14ac:dyDescent="0.25">
      <c r="B56" s="64" t="s">
        <v>62</v>
      </c>
      <c r="C56" s="64" t="s">
        <v>197</v>
      </c>
      <c r="D56" s="72">
        <v>47</v>
      </c>
      <c r="E56" s="72">
        <v>33</v>
      </c>
      <c r="F56" s="72">
        <v>22</v>
      </c>
      <c r="G56" s="72">
        <v>17</v>
      </c>
      <c r="L56" s="65">
        <v>49</v>
      </c>
      <c r="M56" s="70">
        <f t="shared" si="2"/>
        <v>2170</v>
      </c>
      <c r="N56" s="71">
        <f t="shared" si="3"/>
        <v>4130</v>
      </c>
    </row>
    <row r="57" spans="2:14" x14ac:dyDescent="0.25">
      <c r="B57" s="64" t="s">
        <v>63</v>
      </c>
      <c r="C57" s="64" t="s">
        <v>197</v>
      </c>
      <c r="D57" s="72">
        <v>77</v>
      </c>
      <c r="E57" s="72">
        <v>57</v>
      </c>
      <c r="F57" s="72">
        <v>40</v>
      </c>
      <c r="G57" s="72">
        <v>32</v>
      </c>
      <c r="L57" s="65">
        <v>50</v>
      </c>
      <c r="M57" s="70">
        <f t="shared" si="2"/>
        <v>2210</v>
      </c>
      <c r="N57" s="71">
        <f t="shared" si="3"/>
        <v>4200</v>
      </c>
    </row>
    <row r="58" spans="2:14" x14ac:dyDescent="0.25">
      <c r="B58" s="64" t="s">
        <v>64</v>
      </c>
      <c r="C58" s="64" t="s">
        <v>197</v>
      </c>
      <c r="D58" s="72">
        <v>108</v>
      </c>
      <c r="E58" s="72">
        <v>80</v>
      </c>
      <c r="F58" s="72">
        <v>57</v>
      </c>
      <c r="G58" s="72">
        <v>45</v>
      </c>
      <c r="L58" s="65">
        <v>51</v>
      </c>
      <c r="M58" s="70">
        <f t="shared" si="2"/>
        <v>2250</v>
      </c>
      <c r="N58" s="71">
        <f t="shared" si="3"/>
        <v>4270</v>
      </c>
    </row>
    <row r="59" spans="2:14" x14ac:dyDescent="0.25">
      <c r="B59" s="64" t="s">
        <v>237</v>
      </c>
      <c r="C59" s="64" t="s">
        <v>197</v>
      </c>
      <c r="D59" s="72">
        <v>47</v>
      </c>
      <c r="E59" s="72">
        <v>33</v>
      </c>
      <c r="F59" s="72">
        <v>22</v>
      </c>
      <c r="G59" s="72">
        <v>17</v>
      </c>
      <c r="L59" s="65">
        <v>52</v>
      </c>
      <c r="M59" s="70">
        <f t="shared" si="2"/>
        <v>2290</v>
      </c>
      <c r="N59" s="71">
        <f t="shared" si="3"/>
        <v>4340</v>
      </c>
    </row>
    <row r="60" spans="2:14" x14ac:dyDescent="0.25">
      <c r="B60" s="64" t="s">
        <v>65</v>
      </c>
      <c r="C60" s="64" t="s">
        <v>197</v>
      </c>
      <c r="D60" s="72">
        <v>108</v>
      </c>
      <c r="E60" s="72">
        <v>80</v>
      </c>
      <c r="F60" s="72">
        <v>57</v>
      </c>
      <c r="G60" s="72">
        <v>45</v>
      </c>
      <c r="L60" s="65">
        <v>53</v>
      </c>
      <c r="M60" s="70">
        <f t="shared" si="2"/>
        <v>2330</v>
      </c>
      <c r="N60" s="71">
        <f t="shared" si="3"/>
        <v>4410</v>
      </c>
    </row>
    <row r="61" spans="2:14" x14ac:dyDescent="0.25">
      <c r="B61" s="64" t="s">
        <v>238</v>
      </c>
      <c r="C61" s="64" t="s">
        <v>197</v>
      </c>
      <c r="D61" s="72">
        <v>77</v>
      </c>
      <c r="E61" s="72">
        <v>57</v>
      </c>
      <c r="F61" s="72">
        <v>40</v>
      </c>
      <c r="G61" s="72">
        <v>32</v>
      </c>
      <c r="L61" s="65">
        <v>54</v>
      </c>
      <c r="M61" s="70">
        <f t="shared" si="2"/>
        <v>2370</v>
      </c>
      <c r="N61" s="71">
        <f t="shared" si="3"/>
        <v>4480</v>
      </c>
    </row>
    <row r="62" spans="2:14" x14ac:dyDescent="0.25">
      <c r="B62" s="64" t="s">
        <v>239</v>
      </c>
      <c r="C62" s="64" t="s">
        <v>197</v>
      </c>
      <c r="D62" s="72">
        <v>47</v>
      </c>
      <c r="E62" s="72">
        <v>33</v>
      </c>
      <c r="F62" s="72">
        <v>22</v>
      </c>
      <c r="G62" s="72">
        <v>17</v>
      </c>
      <c r="L62" s="65">
        <v>55</v>
      </c>
      <c r="M62" s="70">
        <f t="shared" si="2"/>
        <v>2410</v>
      </c>
      <c r="N62" s="71">
        <f t="shared" si="3"/>
        <v>4550</v>
      </c>
    </row>
    <row r="63" spans="2:14" x14ac:dyDescent="0.25">
      <c r="B63" s="64" t="s">
        <v>66</v>
      </c>
      <c r="C63" s="64" t="s">
        <v>197</v>
      </c>
      <c r="D63" s="72">
        <v>47</v>
      </c>
      <c r="E63" s="72">
        <v>33</v>
      </c>
      <c r="F63" s="72">
        <v>22</v>
      </c>
      <c r="G63" s="72">
        <v>17</v>
      </c>
      <c r="L63" s="65">
        <v>56</v>
      </c>
      <c r="M63" s="70">
        <f t="shared" si="2"/>
        <v>2450</v>
      </c>
      <c r="N63" s="71">
        <f t="shared" si="3"/>
        <v>4620</v>
      </c>
    </row>
    <row r="64" spans="2:14" x14ac:dyDescent="0.25">
      <c r="B64" s="64" t="s">
        <v>240</v>
      </c>
      <c r="C64" s="64" t="s">
        <v>197</v>
      </c>
      <c r="D64" s="72">
        <v>77</v>
      </c>
      <c r="E64" s="72">
        <v>57</v>
      </c>
      <c r="F64" s="72">
        <v>40</v>
      </c>
      <c r="G64" s="72">
        <v>32</v>
      </c>
      <c r="L64" s="65">
        <v>57</v>
      </c>
      <c r="M64" s="70">
        <f t="shared" si="2"/>
        <v>2490</v>
      </c>
      <c r="N64" s="71">
        <f t="shared" si="3"/>
        <v>4690</v>
      </c>
    </row>
    <row r="65" spans="2:14" x14ac:dyDescent="0.25">
      <c r="B65" s="64" t="s">
        <v>241</v>
      </c>
      <c r="C65" s="64" t="s">
        <v>197</v>
      </c>
      <c r="D65" s="72">
        <v>47</v>
      </c>
      <c r="E65" s="72">
        <v>33</v>
      </c>
      <c r="F65" s="72">
        <v>22</v>
      </c>
      <c r="G65" s="72">
        <v>17</v>
      </c>
      <c r="L65" s="65">
        <v>58</v>
      </c>
      <c r="M65" s="70">
        <f t="shared" si="2"/>
        <v>2530</v>
      </c>
      <c r="N65" s="71">
        <f t="shared" si="3"/>
        <v>4760</v>
      </c>
    </row>
    <row r="66" spans="2:14" x14ac:dyDescent="0.25">
      <c r="B66" s="64" t="s">
        <v>242</v>
      </c>
      <c r="C66" s="64" t="s">
        <v>197</v>
      </c>
      <c r="D66" s="72">
        <v>47</v>
      </c>
      <c r="E66" s="72">
        <v>33</v>
      </c>
      <c r="F66" s="72">
        <v>22</v>
      </c>
      <c r="G66" s="72">
        <v>17</v>
      </c>
      <c r="L66" s="65">
        <v>59</v>
      </c>
      <c r="M66" s="70">
        <f t="shared" si="2"/>
        <v>2570</v>
      </c>
      <c r="N66" s="71">
        <f t="shared" si="3"/>
        <v>4830</v>
      </c>
    </row>
    <row r="67" spans="2:14" x14ac:dyDescent="0.25">
      <c r="B67" s="64" t="s">
        <v>243</v>
      </c>
      <c r="C67" s="64" t="s">
        <v>197</v>
      </c>
      <c r="D67" s="72">
        <v>47</v>
      </c>
      <c r="E67" s="72">
        <v>33</v>
      </c>
      <c r="F67" s="72">
        <v>22</v>
      </c>
      <c r="G67" s="72">
        <v>17</v>
      </c>
      <c r="L67" s="65">
        <v>60</v>
      </c>
      <c r="M67" s="70">
        <f t="shared" si="2"/>
        <v>2610</v>
      </c>
      <c r="N67" s="71">
        <f t="shared" si="3"/>
        <v>4900</v>
      </c>
    </row>
    <row r="68" spans="2:14" x14ac:dyDescent="0.25">
      <c r="B68" s="64" t="s">
        <v>351</v>
      </c>
      <c r="C68" s="64" t="s">
        <v>197</v>
      </c>
      <c r="D68" s="72">
        <v>108</v>
      </c>
      <c r="E68" s="72">
        <v>80</v>
      </c>
      <c r="F68" s="72">
        <v>57</v>
      </c>
      <c r="G68" s="72">
        <v>45</v>
      </c>
      <c r="L68" s="73">
        <v>61</v>
      </c>
      <c r="M68" s="70">
        <f t="shared" si="2"/>
        <v>2650</v>
      </c>
      <c r="N68" s="74">
        <f>((L68-$L$67)*50)+4900</f>
        <v>4950</v>
      </c>
    </row>
    <row r="69" spans="2:14" x14ac:dyDescent="0.25">
      <c r="B69" s="64" t="s">
        <v>67</v>
      </c>
      <c r="C69" s="64" t="s">
        <v>197</v>
      </c>
      <c r="D69" s="72">
        <v>77</v>
      </c>
      <c r="E69" s="72">
        <v>57</v>
      </c>
      <c r="F69" s="72">
        <v>40</v>
      </c>
      <c r="G69" s="72">
        <v>32</v>
      </c>
      <c r="L69" s="65">
        <v>62</v>
      </c>
      <c r="M69" s="70">
        <f t="shared" si="2"/>
        <v>2690</v>
      </c>
      <c r="N69" s="74">
        <f t="shared" ref="N69:N97" si="4">((L69-$L$67)*50)+4900</f>
        <v>5000</v>
      </c>
    </row>
    <row r="70" spans="2:14" x14ac:dyDescent="0.25">
      <c r="B70" s="64" t="s">
        <v>68</v>
      </c>
      <c r="C70" s="64" t="s">
        <v>197</v>
      </c>
      <c r="D70" s="72">
        <v>108</v>
      </c>
      <c r="E70" s="72">
        <v>80</v>
      </c>
      <c r="F70" s="72">
        <v>57</v>
      </c>
      <c r="G70" s="72">
        <v>45</v>
      </c>
      <c r="L70" s="65">
        <v>63</v>
      </c>
      <c r="M70" s="70">
        <f t="shared" si="2"/>
        <v>2730</v>
      </c>
      <c r="N70" s="74">
        <f t="shared" si="4"/>
        <v>5050</v>
      </c>
    </row>
    <row r="71" spans="2:14" x14ac:dyDescent="0.25">
      <c r="B71" s="64" t="s">
        <v>244</v>
      </c>
      <c r="C71" s="64" t="s">
        <v>197</v>
      </c>
      <c r="D71" s="72">
        <v>108</v>
      </c>
      <c r="E71" s="72">
        <v>80</v>
      </c>
      <c r="F71" s="72">
        <v>57</v>
      </c>
      <c r="G71" s="72">
        <v>45</v>
      </c>
      <c r="L71" s="65">
        <v>64</v>
      </c>
      <c r="M71" s="70">
        <f t="shared" si="2"/>
        <v>2770</v>
      </c>
      <c r="N71" s="74">
        <f t="shared" si="4"/>
        <v>5100</v>
      </c>
    </row>
    <row r="72" spans="2:14" x14ac:dyDescent="0.25">
      <c r="B72" s="64" t="s">
        <v>245</v>
      </c>
      <c r="C72" s="64" t="s">
        <v>197</v>
      </c>
      <c r="D72" s="72">
        <v>77</v>
      </c>
      <c r="E72" s="72">
        <v>57</v>
      </c>
      <c r="F72" s="72">
        <v>40</v>
      </c>
      <c r="G72" s="72">
        <v>32</v>
      </c>
      <c r="L72" s="65">
        <v>65</v>
      </c>
      <c r="M72" s="70">
        <f t="shared" si="2"/>
        <v>2810</v>
      </c>
      <c r="N72" s="74">
        <f t="shared" si="4"/>
        <v>5150</v>
      </c>
    </row>
    <row r="73" spans="2:14" x14ac:dyDescent="0.25">
      <c r="B73" s="64" t="s">
        <v>325</v>
      </c>
      <c r="C73" s="64" t="s">
        <v>197</v>
      </c>
      <c r="D73" s="72">
        <v>47</v>
      </c>
      <c r="E73" s="72">
        <v>33</v>
      </c>
      <c r="F73" s="72">
        <v>22</v>
      </c>
      <c r="G73" s="72">
        <v>17</v>
      </c>
      <c r="L73" s="65">
        <v>66</v>
      </c>
      <c r="M73" s="70">
        <f t="shared" si="2"/>
        <v>2850</v>
      </c>
      <c r="N73" s="74">
        <f t="shared" si="4"/>
        <v>5200</v>
      </c>
    </row>
    <row r="74" spans="2:14" x14ac:dyDescent="0.25">
      <c r="B74" s="64" t="s">
        <v>246</v>
      </c>
      <c r="C74" s="64" t="s">
        <v>197</v>
      </c>
      <c r="D74" s="72">
        <v>108</v>
      </c>
      <c r="E74" s="72">
        <v>80</v>
      </c>
      <c r="F74" s="72">
        <v>57</v>
      </c>
      <c r="G74" s="72">
        <v>45</v>
      </c>
      <c r="L74" s="65">
        <v>67</v>
      </c>
      <c r="M74" s="70">
        <f t="shared" si="2"/>
        <v>2890</v>
      </c>
      <c r="N74" s="74">
        <f t="shared" si="4"/>
        <v>5250</v>
      </c>
    </row>
    <row r="75" spans="2:14" x14ac:dyDescent="0.25">
      <c r="B75" s="64" t="s">
        <v>69</v>
      </c>
      <c r="C75" s="64" t="s">
        <v>197</v>
      </c>
      <c r="D75" s="72">
        <v>77</v>
      </c>
      <c r="E75" s="72">
        <v>57</v>
      </c>
      <c r="F75" s="72">
        <v>40</v>
      </c>
      <c r="G75" s="72">
        <v>32</v>
      </c>
      <c r="L75" s="65">
        <v>68</v>
      </c>
      <c r="M75" s="70">
        <f t="shared" si="2"/>
        <v>2930</v>
      </c>
      <c r="N75" s="74">
        <f t="shared" si="4"/>
        <v>5300</v>
      </c>
    </row>
    <row r="76" spans="2:14" x14ac:dyDescent="0.25">
      <c r="B76" s="64" t="s">
        <v>70</v>
      </c>
      <c r="C76" s="64" t="s">
        <v>197</v>
      </c>
      <c r="D76" s="72">
        <v>47</v>
      </c>
      <c r="E76" s="72">
        <v>33</v>
      </c>
      <c r="F76" s="72">
        <v>22</v>
      </c>
      <c r="G76" s="72">
        <v>17</v>
      </c>
      <c r="L76" s="65">
        <v>69</v>
      </c>
      <c r="M76" s="70">
        <f t="shared" si="2"/>
        <v>2970</v>
      </c>
      <c r="N76" s="74">
        <f t="shared" si="4"/>
        <v>5350</v>
      </c>
    </row>
    <row r="77" spans="2:14" x14ac:dyDescent="0.25">
      <c r="B77" s="64" t="s">
        <v>247</v>
      </c>
      <c r="C77" s="64" t="s">
        <v>197</v>
      </c>
      <c r="D77" s="72">
        <v>77</v>
      </c>
      <c r="E77" s="72">
        <v>57</v>
      </c>
      <c r="F77" s="72">
        <v>40</v>
      </c>
      <c r="G77" s="72">
        <v>32</v>
      </c>
      <c r="L77" s="65">
        <v>70</v>
      </c>
      <c r="M77" s="70">
        <f t="shared" si="2"/>
        <v>3010</v>
      </c>
      <c r="N77" s="74">
        <f t="shared" si="4"/>
        <v>5400</v>
      </c>
    </row>
    <row r="78" spans="2:14" x14ac:dyDescent="0.25">
      <c r="B78" s="64" t="s">
        <v>248</v>
      </c>
      <c r="C78" s="64" t="s">
        <v>197</v>
      </c>
      <c r="D78" s="72">
        <v>108</v>
      </c>
      <c r="E78" s="72">
        <v>80</v>
      </c>
      <c r="F78" s="72">
        <v>57</v>
      </c>
      <c r="G78" s="72">
        <v>45</v>
      </c>
      <c r="L78" s="65">
        <v>71</v>
      </c>
      <c r="M78" s="70">
        <f t="shared" si="2"/>
        <v>3050</v>
      </c>
      <c r="N78" s="74">
        <f t="shared" si="4"/>
        <v>5450</v>
      </c>
    </row>
    <row r="79" spans="2:14" x14ac:dyDescent="0.25">
      <c r="B79" s="64" t="s">
        <v>249</v>
      </c>
      <c r="C79" s="64" t="s">
        <v>197</v>
      </c>
      <c r="D79" s="72">
        <v>77</v>
      </c>
      <c r="E79" s="72">
        <v>57</v>
      </c>
      <c r="F79" s="72">
        <v>40</v>
      </c>
      <c r="G79" s="72">
        <v>32</v>
      </c>
      <c r="L79" s="65">
        <v>72</v>
      </c>
      <c r="M79" s="70">
        <f t="shared" si="2"/>
        <v>3090</v>
      </c>
      <c r="N79" s="74">
        <f t="shared" si="4"/>
        <v>5500</v>
      </c>
    </row>
    <row r="80" spans="2:14" x14ac:dyDescent="0.25">
      <c r="B80" s="64" t="s">
        <v>321</v>
      </c>
      <c r="C80" s="64" t="s">
        <v>197</v>
      </c>
      <c r="D80" s="72">
        <v>47</v>
      </c>
      <c r="E80" s="72">
        <v>33</v>
      </c>
      <c r="F80" s="72">
        <v>22</v>
      </c>
      <c r="G80" s="72">
        <v>17</v>
      </c>
      <c r="L80" s="65">
        <v>73</v>
      </c>
      <c r="M80" s="70">
        <f t="shared" si="2"/>
        <v>3130</v>
      </c>
      <c r="N80" s="74">
        <f t="shared" si="4"/>
        <v>5550</v>
      </c>
    </row>
    <row r="81" spans="2:14" x14ac:dyDescent="0.25">
      <c r="B81" s="64" t="s">
        <v>71</v>
      </c>
      <c r="C81" s="64" t="s">
        <v>197</v>
      </c>
      <c r="D81" s="72">
        <v>77</v>
      </c>
      <c r="E81" s="72">
        <v>57</v>
      </c>
      <c r="F81" s="72">
        <v>40</v>
      </c>
      <c r="G81" s="72">
        <v>32</v>
      </c>
      <c r="L81" s="65">
        <v>74</v>
      </c>
      <c r="M81" s="70">
        <f t="shared" si="2"/>
        <v>3170</v>
      </c>
      <c r="N81" s="74">
        <f t="shared" si="4"/>
        <v>5600</v>
      </c>
    </row>
    <row r="82" spans="2:14" x14ac:dyDescent="0.25">
      <c r="B82" s="64" t="s">
        <v>72</v>
      </c>
      <c r="C82" s="64" t="s">
        <v>197</v>
      </c>
      <c r="D82" s="72">
        <v>47</v>
      </c>
      <c r="E82" s="72">
        <v>33</v>
      </c>
      <c r="F82" s="72">
        <v>22</v>
      </c>
      <c r="G82" s="72">
        <v>17</v>
      </c>
      <c r="L82" s="65">
        <v>75</v>
      </c>
      <c r="M82" s="70">
        <f t="shared" si="2"/>
        <v>3210</v>
      </c>
      <c r="N82" s="74">
        <f t="shared" si="4"/>
        <v>5650</v>
      </c>
    </row>
    <row r="83" spans="2:14" x14ac:dyDescent="0.25">
      <c r="B83" s="64" t="s">
        <v>310</v>
      </c>
      <c r="C83" s="64" t="s">
        <v>197</v>
      </c>
      <c r="D83" s="72">
        <v>77</v>
      </c>
      <c r="E83" s="72">
        <v>57</v>
      </c>
      <c r="F83" s="72">
        <v>40</v>
      </c>
      <c r="G83" s="72">
        <v>32</v>
      </c>
      <c r="L83" s="65">
        <v>76</v>
      </c>
      <c r="M83" s="70">
        <f t="shared" si="2"/>
        <v>3250</v>
      </c>
      <c r="N83" s="74">
        <f t="shared" si="4"/>
        <v>5700</v>
      </c>
    </row>
    <row r="84" spans="2:14" x14ac:dyDescent="0.25">
      <c r="B84" s="64" t="s">
        <v>250</v>
      </c>
      <c r="C84" s="64" t="s">
        <v>197</v>
      </c>
      <c r="D84" s="72">
        <v>47</v>
      </c>
      <c r="E84" s="72">
        <v>33</v>
      </c>
      <c r="F84" s="72">
        <v>22</v>
      </c>
      <c r="G84" s="72">
        <v>17</v>
      </c>
      <c r="L84" s="65">
        <v>77</v>
      </c>
      <c r="M84" s="70">
        <f t="shared" si="2"/>
        <v>3290</v>
      </c>
      <c r="N84" s="74">
        <f t="shared" si="4"/>
        <v>5750</v>
      </c>
    </row>
    <row r="85" spans="2:14" x14ac:dyDescent="0.25">
      <c r="B85" s="64" t="s">
        <v>251</v>
      </c>
      <c r="C85" s="64" t="s">
        <v>197</v>
      </c>
      <c r="D85" s="72">
        <v>47</v>
      </c>
      <c r="E85" s="72">
        <v>33</v>
      </c>
      <c r="F85" s="72">
        <v>22</v>
      </c>
      <c r="G85" s="72">
        <v>17</v>
      </c>
      <c r="L85" s="65">
        <v>78</v>
      </c>
      <c r="M85" s="70">
        <f t="shared" si="2"/>
        <v>3330</v>
      </c>
      <c r="N85" s="74">
        <f t="shared" si="4"/>
        <v>5800</v>
      </c>
    </row>
    <row r="86" spans="2:14" x14ac:dyDescent="0.25">
      <c r="B86" s="64" t="s">
        <v>252</v>
      </c>
      <c r="C86" s="64" t="s">
        <v>197</v>
      </c>
      <c r="D86" s="72">
        <v>47</v>
      </c>
      <c r="E86" s="72">
        <v>33</v>
      </c>
      <c r="F86" s="72">
        <v>22</v>
      </c>
      <c r="G86" s="72">
        <v>17</v>
      </c>
      <c r="L86" s="65">
        <v>79</v>
      </c>
      <c r="M86" s="70">
        <f t="shared" si="2"/>
        <v>3370</v>
      </c>
      <c r="N86" s="74">
        <f t="shared" si="4"/>
        <v>5850</v>
      </c>
    </row>
    <row r="87" spans="2:14" x14ac:dyDescent="0.25">
      <c r="B87" s="64" t="s">
        <v>320</v>
      </c>
      <c r="C87" s="64" t="s">
        <v>197</v>
      </c>
      <c r="D87" s="72">
        <v>47</v>
      </c>
      <c r="E87" s="72">
        <v>33</v>
      </c>
      <c r="F87" s="72">
        <v>22</v>
      </c>
      <c r="G87" s="72">
        <v>17</v>
      </c>
      <c r="L87" s="65">
        <v>80</v>
      </c>
      <c r="M87" s="70">
        <f t="shared" ref="M87:M97" si="5">((L87-$L$21)*40)+770</f>
        <v>3410</v>
      </c>
      <c r="N87" s="74">
        <f t="shared" si="4"/>
        <v>5900</v>
      </c>
    </row>
    <row r="88" spans="2:14" x14ac:dyDescent="0.25">
      <c r="B88" s="64" t="s">
        <v>253</v>
      </c>
      <c r="C88" s="64" t="s">
        <v>197</v>
      </c>
      <c r="D88" s="72">
        <v>108</v>
      </c>
      <c r="E88" s="72">
        <v>80</v>
      </c>
      <c r="F88" s="72">
        <v>57</v>
      </c>
      <c r="G88" s="72">
        <v>45</v>
      </c>
      <c r="L88" s="65">
        <v>81</v>
      </c>
      <c r="M88" s="70">
        <f t="shared" si="5"/>
        <v>3450</v>
      </c>
      <c r="N88" s="74">
        <f t="shared" si="4"/>
        <v>5950</v>
      </c>
    </row>
    <row r="89" spans="2:14" x14ac:dyDescent="0.25">
      <c r="B89" s="64" t="s">
        <v>254</v>
      </c>
      <c r="C89" s="64" t="s">
        <v>197</v>
      </c>
      <c r="D89" s="72">
        <v>47</v>
      </c>
      <c r="E89" s="72">
        <v>33</v>
      </c>
      <c r="F89" s="72">
        <v>22</v>
      </c>
      <c r="G89" s="72">
        <v>17</v>
      </c>
      <c r="L89" s="65">
        <v>82</v>
      </c>
      <c r="M89" s="70">
        <f t="shared" si="5"/>
        <v>3490</v>
      </c>
      <c r="N89" s="74">
        <f t="shared" si="4"/>
        <v>6000</v>
      </c>
    </row>
    <row r="90" spans="2:14" x14ac:dyDescent="0.25">
      <c r="B90" s="64" t="s">
        <v>73</v>
      </c>
      <c r="C90" s="64" t="s">
        <v>197</v>
      </c>
      <c r="D90" s="72">
        <v>77</v>
      </c>
      <c r="E90" s="72">
        <v>57</v>
      </c>
      <c r="F90" s="72">
        <v>40</v>
      </c>
      <c r="G90" s="72">
        <v>32</v>
      </c>
      <c r="L90" s="65">
        <v>83</v>
      </c>
      <c r="M90" s="70">
        <f t="shared" si="5"/>
        <v>3530</v>
      </c>
      <c r="N90" s="74">
        <f t="shared" si="4"/>
        <v>6050</v>
      </c>
    </row>
    <row r="91" spans="2:14" x14ac:dyDescent="0.25">
      <c r="B91" s="64" t="s">
        <v>255</v>
      </c>
      <c r="C91" s="64" t="s">
        <v>197</v>
      </c>
      <c r="D91" s="72">
        <v>47</v>
      </c>
      <c r="E91" s="72">
        <v>33</v>
      </c>
      <c r="F91" s="72">
        <v>22</v>
      </c>
      <c r="G91" s="72">
        <v>17</v>
      </c>
      <c r="L91" s="65">
        <v>84</v>
      </c>
      <c r="M91" s="70">
        <f t="shared" si="5"/>
        <v>3570</v>
      </c>
      <c r="N91" s="74">
        <f t="shared" si="4"/>
        <v>6100</v>
      </c>
    </row>
    <row r="92" spans="2:14" x14ac:dyDescent="0.25">
      <c r="B92" s="64" t="s">
        <v>256</v>
      </c>
      <c r="C92" s="64" t="s">
        <v>197</v>
      </c>
      <c r="D92" s="72">
        <v>108</v>
      </c>
      <c r="E92" s="72">
        <v>80</v>
      </c>
      <c r="F92" s="72">
        <v>57</v>
      </c>
      <c r="G92" s="72">
        <v>45</v>
      </c>
      <c r="L92" s="65">
        <v>85</v>
      </c>
      <c r="M92" s="70">
        <f t="shared" si="5"/>
        <v>3610</v>
      </c>
      <c r="N92" s="74">
        <f t="shared" si="4"/>
        <v>6150</v>
      </c>
    </row>
    <row r="93" spans="2:14" x14ac:dyDescent="0.25">
      <c r="B93" s="64" t="s">
        <v>74</v>
      </c>
      <c r="C93" s="64" t="s">
        <v>197</v>
      </c>
      <c r="D93" s="72">
        <v>77</v>
      </c>
      <c r="E93" s="72">
        <v>57</v>
      </c>
      <c r="F93" s="72">
        <v>40</v>
      </c>
      <c r="G93" s="72">
        <v>32</v>
      </c>
      <c r="L93" s="65">
        <v>86</v>
      </c>
      <c r="M93" s="70">
        <f t="shared" si="5"/>
        <v>3650</v>
      </c>
      <c r="N93" s="74">
        <f t="shared" si="4"/>
        <v>6200</v>
      </c>
    </row>
    <row r="94" spans="2:14" x14ac:dyDescent="0.25">
      <c r="B94" s="64" t="s">
        <v>257</v>
      </c>
      <c r="C94" s="64" t="s">
        <v>197</v>
      </c>
      <c r="D94" s="72">
        <v>47</v>
      </c>
      <c r="E94" s="72">
        <v>33</v>
      </c>
      <c r="F94" s="72">
        <v>22</v>
      </c>
      <c r="G94" s="72">
        <v>17</v>
      </c>
      <c r="L94" s="65">
        <v>87</v>
      </c>
      <c r="M94" s="70">
        <f t="shared" si="5"/>
        <v>3690</v>
      </c>
      <c r="N94" s="74">
        <f t="shared" si="4"/>
        <v>6250</v>
      </c>
    </row>
    <row r="95" spans="2:14" x14ac:dyDescent="0.25">
      <c r="B95" s="64" t="s">
        <v>258</v>
      </c>
      <c r="C95" s="64" t="s">
        <v>197</v>
      </c>
      <c r="D95" s="72">
        <v>77</v>
      </c>
      <c r="E95" s="72">
        <v>57</v>
      </c>
      <c r="F95" s="72">
        <v>40</v>
      </c>
      <c r="G95" s="72">
        <v>32</v>
      </c>
      <c r="L95" s="65">
        <v>88</v>
      </c>
      <c r="M95" s="70">
        <f t="shared" si="5"/>
        <v>3730</v>
      </c>
      <c r="N95" s="74">
        <f t="shared" si="4"/>
        <v>6300</v>
      </c>
    </row>
    <row r="96" spans="2:14" x14ac:dyDescent="0.25">
      <c r="B96" s="64" t="s">
        <v>259</v>
      </c>
      <c r="C96" s="64" t="s">
        <v>197</v>
      </c>
      <c r="D96" s="72">
        <v>47</v>
      </c>
      <c r="E96" s="72">
        <v>33</v>
      </c>
      <c r="F96" s="72">
        <v>22</v>
      </c>
      <c r="G96" s="72">
        <v>17</v>
      </c>
      <c r="L96" s="65">
        <v>89</v>
      </c>
      <c r="M96" s="70">
        <f t="shared" si="5"/>
        <v>3770</v>
      </c>
      <c r="N96" s="74">
        <f t="shared" si="4"/>
        <v>6350</v>
      </c>
    </row>
    <row r="97" spans="2:14" x14ac:dyDescent="0.25">
      <c r="B97" s="64" t="s">
        <v>260</v>
      </c>
      <c r="C97" s="64" t="s">
        <v>197</v>
      </c>
      <c r="D97" s="72">
        <v>77</v>
      </c>
      <c r="E97" s="72">
        <v>57</v>
      </c>
      <c r="F97" s="72">
        <v>40</v>
      </c>
      <c r="G97" s="72">
        <v>32</v>
      </c>
      <c r="L97" s="65">
        <v>90</v>
      </c>
      <c r="M97" s="70">
        <f t="shared" si="5"/>
        <v>3810</v>
      </c>
      <c r="N97" s="74">
        <f t="shared" si="4"/>
        <v>6400</v>
      </c>
    </row>
    <row r="98" spans="2:14" x14ac:dyDescent="0.25">
      <c r="B98" s="64" t="s">
        <v>75</v>
      </c>
      <c r="C98" s="64" t="s">
        <v>197</v>
      </c>
      <c r="D98" s="72">
        <v>47</v>
      </c>
      <c r="E98" s="72">
        <v>33</v>
      </c>
      <c r="F98" s="72">
        <v>22</v>
      </c>
      <c r="G98" s="72">
        <v>17</v>
      </c>
    </row>
    <row r="99" spans="2:14" x14ac:dyDescent="0.25">
      <c r="B99" s="64" t="s">
        <v>76</v>
      </c>
      <c r="C99" s="64" t="s">
        <v>197</v>
      </c>
      <c r="D99" s="72">
        <v>47</v>
      </c>
      <c r="E99" s="72">
        <v>33</v>
      </c>
      <c r="F99" s="72">
        <v>22</v>
      </c>
      <c r="G99" s="72">
        <v>17</v>
      </c>
    </row>
    <row r="100" spans="2:14" x14ac:dyDescent="0.25">
      <c r="B100" s="64" t="s">
        <v>77</v>
      </c>
      <c r="C100" s="64" t="s">
        <v>197</v>
      </c>
      <c r="D100" s="72">
        <v>47</v>
      </c>
      <c r="E100" s="72">
        <v>33</v>
      </c>
      <c r="F100" s="72">
        <v>22</v>
      </c>
      <c r="G100" s="72">
        <v>17</v>
      </c>
    </row>
    <row r="101" spans="2:14" x14ac:dyDescent="0.25">
      <c r="B101" s="64" t="s">
        <v>78</v>
      </c>
      <c r="C101" s="64" t="s">
        <v>197</v>
      </c>
      <c r="D101" s="72">
        <v>77</v>
      </c>
      <c r="E101" s="72">
        <v>57</v>
      </c>
      <c r="F101" s="72">
        <v>40</v>
      </c>
      <c r="G101" s="72">
        <v>32</v>
      </c>
    </row>
    <row r="102" spans="2:14" x14ac:dyDescent="0.25">
      <c r="B102" s="64" t="s">
        <v>79</v>
      </c>
      <c r="C102" s="64" t="s">
        <v>197</v>
      </c>
      <c r="D102" s="72">
        <v>77</v>
      </c>
      <c r="E102" s="72">
        <v>57</v>
      </c>
      <c r="F102" s="72">
        <v>40</v>
      </c>
      <c r="G102" s="72">
        <v>32</v>
      </c>
    </row>
    <row r="103" spans="2:14" x14ac:dyDescent="0.25">
      <c r="B103" s="64" t="s">
        <v>54</v>
      </c>
      <c r="C103" s="64" t="s">
        <v>197</v>
      </c>
      <c r="D103" s="72">
        <v>166</v>
      </c>
      <c r="E103" s="72">
        <v>132</v>
      </c>
      <c r="F103" s="72">
        <v>102</v>
      </c>
      <c r="G103" s="72">
        <v>92</v>
      </c>
    </row>
    <row r="104" spans="2:14" x14ac:dyDescent="0.25">
      <c r="B104" s="64" t="s">
        <v>261</v>
      </c>
      <c r="C104" s="64" t="s">
        <v>197</v>
      </c>
      <c r="D104" s="72">
        <v>108</v>
      </c>
      <c r="E104" s="72">
        <v>80</v>
      </c>
      <c r="F104" s="72">
        <v>57</v>
      </c>
      <c r="G104" s="72">
        <v>45</v>
      </c>
    </row>
    <row r="105" spans="2:14" x14ac:dyDescent="0.25">
      <c r="B105" s="64" t="s">
        <v>262</v>
      </c>
      <c r="C105" s="64" t="s">
        <v>197</v>
      </c>
      <c r="D105" s="72">
        <v>77</v>
      </c>
      <c r="E105" s="72">
        <v>57</v>
      </c>
      <c r="F105" s="72">
        <v>40</v>
      </c>
      <c r="G105" s="72">
        <v>32</v>
      </c>
    </row>
    <row r="106" spans="2:14" x14ac:dyDescent="0.25">
      <c r="B106" s="64" t="s">
        <v>80</v>
      </c>
      <c r="C106" s="64" t="s">
        <v>197</v>
      </c>
      <c r="D106" s="72">
        <v>77</v>
      </c>
      <c r="E106" s="72">
        <v>57</v>
      </c>
      <c r="F106" s="72">
        <v>40</v>
      </c>
      <c r="G106" s="72">
        <v>32</v>
      </c>
    </row>
    <row r="107" spans="2:14" x14ac:dyDescent="0.25">
      <c r="B107" s="64" t="s">
        <v>324</v>
      </c>
      <c r="C107" s="64" t="s">
        <v>197</v>
      </c>
      <c r="D107" s="72">
        <v>77</v>
      </c>
      <c r="E107" s="72">
        <v>57</v>
      </c>
      <c r="F107" s="72">
        <v>40</v>
      </c>
      <c r="G107" s="72">
        <v>32</v>
      </c>
    </row>
    <row r="108" spans="2:14" x14ac:dyDescent="0.25">
      <c r="B108" s="64" t="s">
        <v>263</v>
      </c>
      <c r="C108" s="64" t="s">
        <v>197</v>
      </c>
      <c r="D108" s="72">
        <v>77</v>
      </c>
      <c r="E108" s="72">
        <v>57</v>
      </c>
      <c r="F108" s="72">
        <v>40</v>
      </c>
      <c r="G108" s="72">
        <v>32</v>
      </c>
    </row>
    <row r="109" spans="2:14" x14ac:dyDescent="0.25">
      <c r="B109" s="64" t="s">
        <v>264</v>
      </c>
      <c r="C109" s="64" t="s">
        <v>197</v>
      </c>
      <c r="D109" s="72">
        <v>47</v>
      </c>
      <c r="E109" s="72">
        <v>33</v>
      </c>
      <c r="F109" s="72">
        <v>22</v>
      </c>
      <c r="G109" s="72">
        <v>17</v>
      </c>
    </row>
    <row r="110" spans="2:14" x14ac:dyDescent="0.25">
      <c r="B110" s="64" t="s">
        <v>168</v>
      </c>
      <c r="C110" s="64" t="s">
        <v>197</v>
      </c>
      <c r="D110" s="72">
        <v>108</v>
      </c>
      <c r="E110" s="72">
        <v>80</v>
      </c>
      <c r="F110" s="72">
        <v>57</v>
      </c>
      <c r="G110" s="72">
        <v>45</v>
      </c>
    </row>
    <row r="111" spans="2:14" x14ac:dyDescent="0.25">
      <c r="B111" s="64" t="s">
        <v>81</v>
      </c>
      <c r="C111" s="64" t="s">
        <v>197</v>
      </c>
      <c r="D111" s="72">
        <v>47</v>
      </c>
      <c r="E111" s="72">
        <v>33</v>
      </c>
      <c r="F111" s="72">
        <v>22</v>
      </c>
      <c r="G111" s="72">
        <v>17</v>
      </c>
    </row>
    <row r="112" spans="2:14" x14ac:dyDescent="0.25">
      <c r="B112" s="64" t="s">
        <v>82</v>
      </c>
      <c r="C112" s="64" t="s">
        <v>197</v>
      </c>
      <c r="D112" s="72">
        <v>47</v>
      </c>
      <c r="E112" s="72">
        <v>33</v>
      </c>
      <c r="F112" s="72">
        <v>22</v>
      </c>
      <c r="G112" s="72">
        <v>17</v>
      </c>
    </row>
    <row r="113" spans="2:7" x14ac:dyDescent="0.25">
      <c r="B113" s="64" t="s">
        <v>83</v>
      </c>
      <c r="C113" s="64" t="s">
        <v>197</v>
      </c>
      <c r="D113" s="72">
        <v>108</v>
      </c>
      <c r="E113" s="72">
        <v>80</v>
      </c>
      <c r="F113" s="72">
        <v>57</v>
      </c>
      <c r="G113" s="72">
        <v>45</v>
      </c>
    </row>
    <row r="114" spans="2:7" x14ac:dyDescent="0.25">
      <c r="B114" s="64" t="s">
        <v>265</v>
      </c>
      <c r="C114" s="64" t="s">
        <v>197</v>
      </c>
      <c r="D114" s="72">
        <v>47</v>
      </c>
      <c r="E114" s="72">
        <v>33</v>
      </c>
      <c r="F114" s="72">
        <v>22</v>
      </c>
      <c r="G114" s="72">
        <v>17</v>
      </c>
    </row>
    <row r="115" spans="2:7" x14ac:dyDescent="0.25">
      <c r="B115" s="64" t="s">
        <v>266</v>
      </c>
      <c r="C115" s="64" t="s">
        <v>197</v>
      </c>
      <c r="D115" s="72">
        <v>47</v>
      </c>
      <c r="E115" s="72">
        <v>33</v>
      </c>
      <c r="F115" s="72">
        <v>22</v>
      </c>
      <c r="G115" s="72">
        <v>17</v>
      </c>
    </row>
    <row r="116" spans="2:7" x14ac:dyDescent="0.25">
      <c r="B116" s="64" t="s">
        <v>84</v>
      </c>
      <c r="C116" s="64" t="s">
        <v>197</v>
      </c>
      <c r="D116" s="72">
        <v>108</v>
      </c>
      <c r="E116" s="72">
        <v>80</v>
      </c>
      <c r="F116" s="72">
        <v>57</v>
      </c>
      <c r="G116" s="72">
        <v>45</v>
      </c>
    </row>
    <row r="117" spans="2:7" x14ac:dyDescent="0.25">
      <c r="B117" s="64" t="s">
        <v>267</v>
      </c>
      <c r="C117" s="64" t="s">
        <v>197</v>
      </c>
      <c r="D117" s="72">
        <v>47</v>
      </c>
      <c r="E117" s="72">
        <v>33</v>
      </c>
      <c r="F117" s="72">
        <v>22</v>
      </c>
      <c r="G117" s="72">
        <v>17</v>
      </c>
    </row>
    <row r="118" spans="2:7" x14ac:dyDescent="0.25">
      <c r="B118" s="64" t="s">
        <v>268</v>
      </c>
      <c r="C118" s="64" t="s">
        <v>197</v>
      </c>
      <c r="D118" s="72">
        <v>47</v>
      </c>
      <c r="E118" s="72">
        <v>33</v>
      </c>
      <c r="F118" s="72">
        <v>22</v>
      </c>
      <c r="G118" s="72">
        <v>17</v>
      </c>
    </row>
    <row r="119" spans="2:7" x14ac:dyDescent="0.25">
      <c r="B119" s="64" t="s">
        <v>85</v>
      </c>
      <c r="C119" s="64" t="s">
        <v>197</v>
      </c>
      <c r="D119" s="72">
        <v>47</v>
      </c>
      <c r="E119" s="72">
        <v>33</v>
      </c>
      <c r="F119" s="72">
        <v>22</v>
      </c>
      <c r="G119" s="72">
        <v>17</v>
      </c>
    </row>
    <row r="120" spans="2:7" x14ac:dyDescent="0.25">
      <c r="B120" s="64" t="s">
        <v>86</v>
      </c>
      <c r="C120" s="64" t="s">
        <v>197</v>
      </c>
      <c r="D120" s="72">
        <v>47</v>
      </c>
      <c r="E120" s="72">
        <v>33</v>
      </c>
      <c r="F120" s="72">
        <v>22</v>
      </c>
      <c r="G120" s="72">
        <v>17</v>
      </c>
    </row>
    <row r="121" spans="2:7" x14ac:dyDescent="0.25">
      <c r="B121" s="64" t="s">
        <v>269</v>
      </c>
      <c r="C121" s="64" t="s">
        <v>197</v>
      </c>
      <c r="D121" s="72">
        <v>47</v>
      </c>
      <c r="E121" s="72">
        <v>33</v>
      </c>
      <c r="F121" s="72">
        <v>22</v>
      </c>
      <c r="G121" s="72">
        <v>17</v>
      </c>
    </row>
    <row r="122" spans="2:7" x14ac:dyDescent="0.25">
      <c r="B122" s="64" t="s">
        <v>270</v>
      </c>
      <c r="C122" s="64" t="s">
        <v>197</v>
      </c>
      <c r="D122" s="72">
        <v>47</v>
      </c>
      <c r="E122" s="72">
        <v>33</v>
      </c>
      <c r="F122" s="72">
        <v>22</v>
      </c>
      <c r="G122" s="72">
        <v>17</v>
      </c>
    </row>
    <row r="123" spans="2:7" x14ac:dyDescent="0.25">
      <c r="B123" s="64" t="s">
        <v>271</v>
      </c>
      <c r="C123" s="64" t="s">
        <v>197</v>
      </c>
      <c r="D123" s="72">
        <v>47</v>
      </c>
      <c r="E123" s="72">
        <v>33</v>
      </c>
      <c r="F123" s="72">
        <v>22</v>
      </c>
      <c r="G123" s="72">
        <v>17</v>
      </c>
    </row>
    <row r="124" spans="2:7" x14ac:dyDescent="0.25">
      <c r="B124" s="64" t="s">
        <v>272</v>
      </c>
      <c r="C124" s="64" t="s">
        <v>197</v>
      </c>
      <c r="D124" s="72">
        <v>47</v>
      </c>
      <c r="E124" s="72">
        <v>33</v>
      </c>
      <c r="F124" s="72">
        <v>22</v>
      </c>
      <c r="G124" s="72">
        <v>17</v>
      </c>
    </row>
    <row r="125" spans="2:7" x14ac:dyDescent="0.25">
      <c r="B125" s="64" t="s">
        <v>87</v>
      </c>
      <c r="C125" s="64" t="s">
        <v>197</v>
      </c>
      <c r="D125" s="72">
        <v>108</v>
      </c>
      <c r="E125" s="72">
        <v>80</v>
      </c>
      <c r="F125" s="72">
        <v>57</v>
      </c>
      <c r="G125" s="72">
        <v>45</v>
      </c>
    </row>
    <row r="126" spans="2:7" x14ac:dyDescent="0.25">
      <c r="B126" s="64" t="s">
        <v>326</v>
      </c>
      <c r="C126" s="64" t="s">
        <v>197</v>
      </c>
      <c r="D126" s="72">
        <v>77</v>
      </c>
      <c r="E126" s="72">
        <v>57</v>
      </c>
      <c r="F126" s="72">
        <v>40</v>
      </c>
      <c r="G126" s="72">
        <v>32</v>
      </c>
    </row>
    <row r="127" spans="2:7" x14ac:dyDescent="0.25">
      <c r="B127" s="64" t="s">
        <v>88</v>
      </c>
      <c r="C127" s="64" t="s">
        <v>197</v>
      </c>
      <c r="D127" s="72">
        <v>47</v>
      </c>
      <c r="E127" s="72">
        <v>33</v>
      </c>
      <c r="F127" s="72">
        <v>22</v>
      </c>
      <c r="G127" s="72">
        <v>17</v>
      </c>
    </row>
    <row r="128" spans="2:7" x14ac:dyDescent="0.25">
      <c r="B128" s="64" t="s">
        <v>89</v>
      </c>
      <c r="C128" s="64" t="s">
        <v>197</v>
      </c>
      <c r="D128" s="72">
        <v>47</v>
      </c>
      <c r="E128" s="72">
        <v>33</v>
      </c>
      <c r="F128" s="72">
        <v>22</v>
      </c>
      <c r="G128" s="72">
        <v>17</v>
      </c>
    </row>
    <row r="129" spans="2:7" x14ac:dyDescent="0.25">
      <c r="B129" s="64" t="s">
        <v>90</v>
      </c>
      <c r="C129" s="64" t="s">
        <v>197</v>
      </c>
      <c r="D129" s="72">
        <v>108</v>
      </c>
      <c r="E129" s="72">
        <v>80</v>
      </c>
      <c r="F129" s="72">
        <v>57</v>
      </c>
      <c r="G129" s="72">
        <v>45</v>
      </c>
    </row>
    <row r="130" spans="2:7" x14ac:dyDescent="0.25">
      <c r="B130" s="64" t="s">
        <v>91</v>
      </c>
      <c r="C130" s="64" t="s">
        <v>197</v>
      </c>
      <c r="D130" s="72">
        <v>77</v>
      </c>
      <c r="E130" s="72">
        <v>57</v>
      </c>
      <c r="F130" s="72">
        <v>40</v>
      </c>
      <c r="G130" s="72">
        <v>32</v>
      </c>
    </row>
    <row r="131" spans="2:7" x14ac:dyDescent="0.25">
      <c r="B131" s="64" t="s">
        <v>273</v>
      </c>
      <c r="C131" s="64" t="s">
        <v>197</v>
      </c>
      <c r="D131" s="72">
        <v>77</v>
      </c>
      <c r="E131" s="72">
        <v>57</v>
      </c>
      <c r="F131" s="72">
        <v>40</v>
      </c>
      <c r="G131" s="72">
        <v>32</v>
      </c>
    </row>
    <row r="132" spans="2:7" x14ac:dyDescent="0.25">
      <c r="B132" s="64" t="s">
        <v>274</v>
      </c>
      <c r="C132" s="64" t="s">
        <v>197</v>
      </c>
      <c r="D132" s="72">
        <v>47</v>
      </c>
      <c r="E132" s="72">
        <v>33</v>
      </c>
      <c r="F132" s="72">
        <v>22</v>
      </c>
      <c r="G132" s="72">
        <v>17</v>
      </c>
    </row>
    <row r="133" spans="2:7" x14ac:dyDescent="0.25">
      <c r="B133" s="64" t="s">
        <v>275</v>
      </c>
      <c r="C133" s="64" t="s">
        <v>197</v>
      </c>
      <c r="D133" s="72">
        <v>77</v>
      </c>
      <c r="E133" s="72">
        <v>57</v>
      </c>
      <c r="F133" s="72">
        <v>40</v>
      </c>
      <c r="G133" s="72">
        <v>32</v>
      </c>
    </row>
    <row r="134" spans="2:7" x14ac:dyDescent="0.25">
      <c r="B134" s="64" t="s">
        <v>276</v>
      </c>
      <c r="C134" s="64" t="s">
        <v>197</v>
      </c>
      <c r="D134" s="72">
        <v>47</v>
      </c>
      <c r="E134" s="72">
        <v>33</v>
      </c>
      <c r="F134" s="72">
        <v>22</v>
      </c>
      <c r="G134" s="72">
        <v>17</v>
      </c>
    </row>
    <row r="135" spans="2:7" x14ac:dyDescent="0.25">
      <c r="B135" s="64" t="s">
        <v>92</v>
      </c>
      <c r="C135" s="64" t="s">
        <v>197</v>
      </c>
      <c r="D135" s="72">
        <v>47</v>
      </c>
      <c r="E135" s="72">
        <v>33</v>
      </c>
      <c r="F135" s="72">
        <v>22</v>
      </c>
      <c r="G135" s="72">
        <v>17</v>
      </c>
    </row>
    <row r="136" spans="2:7" x14ac:dyDescent="0.25">
      <c r="B136" s="64" t="s">
        <v>93</v>
      </c>
      <c r="C136" s="64" t="s">
        <v>197</v>
      </c>
      <c r="D136" s="72">
        <v>47</v>
      </c>
      <c r="E136" s="72">
        <v>33</v>
      </c>
      <c r="F136" s="72">
        <v>22</v>
      </c>
      <c r="G136" s="72">
        <v>17</v>
      </c>
    </row>
    <row r="137" spans="2:7" x14ac:dyDescent="0.25">
      <c r="B137" s="64" t="s">
        <v>277</v>
      </c>
      <c r="C137" s="64" t="s">
        <v>197</v>
      </c>
      <c r="D137" s="72">
        <v>47</v>
      </c>
      <c r="E137" s="72">
        <v>33</v>
      </c>
      <c r="F137" s="72">
        <v>22</v>
      </c>
      <c r="G137" s="72">
        <v>17</v>
      </c>
    </row>
    <row r="138" spans="2:7" x14ac:dyDescent="0.25">
      <c r="B138" s="64" t="s">
        <v>278</v>
      </c>
      <c r="C138" s="64" t="s">
        <v>197</v>
      </c>
      <c r="D138" s="72">
        <v>108</v>
      </c>
      <c r="E138" s="72">
        <v>80</v>
      </c>
      <c r="F138" s="72">
        <v>57</v>
      </c>
      <c r="G138" s="72">
        <v>45</v>
      </c>
    </row>
    <row r="139" spans="2:7" x14ac:dyDescent="0.25">
      <c r="B139" s="64" t="s">
        <v>279</v>
      </c>
      <c r="C139" s="64" t="s">
        <v>197</v>
      </c>
      <c r="D139" s="72">
        <v>47</v>
      </c>
      <c r="E139" s="72">
        <v>33</v>
      </c>
      <c r="F139" s="72">
        <v>22</v>
      </c>
      <c r="G139" s="72">
        <v>17</v>
      </c>
    </row>
    <row r="140" spans="2:7" x14ac:dyDescent="0.25">
      <c r="B140" s="64" t="s">
        <v>94</v>
      </c>
      <c r="C140" s="64" t="s">
        <v>197</v>
      </c>
      <c r="D140" s="72">
        <v>47</v>
      </c>
      <c r="E140" s="72">
        <v>33</v>
      </c>
      <c r="F140" s="72">
        <v>22</v>
      </c>
      <c r="G140" s="72">
        <v>17</v>
      </c>
    </row>
    <row r="141" spans="2:7" x14ac:dyDescent="0.25">
      <c r="B141" s="64" t="s">
        <v>280</v>
      </c>
      <c r="C141" s="64" t="s">
        <v>197</v>
      </c>
      <c r="D141" s="72">
        <v>47</v>
      </c>
      <c r="E141" s="72">
        <v>33</v>
      </c>
      <c r="F141" s="72">
        <v>22</v>
      </c>
      <c r="G141" s="72">
        <v>17</v>
      </c>
    </row>
    <row r="142" spans="2:7" x14ac:dyDescent="0.25">
      <c r="B142" s="64" t="s">
        <v>167</v>
      </c>
      <c r="C142" s="64" t="s">
        <v>197</v>
      </c>
      <c r="D142" s="72">
        <v>77</v>
      </c>
      <c r="E142" s="72">
        <v>57</v>
      </c>
      <c r="F142" s="72">
        <v>40</v>
      </c>
      <c r="G142" s="72">
        <v>32</v>
      </c>
    </row>
    <row r="143" spans="2:7" x14ac:dyDescent="0.25">
      <c r="B143" s="64" t="s">
        <v>95</v>
      </c>
      <c r="C143" s="64" t="s">
        <v>197</v>
      </c>
      <c r="D143" s="72">
        <v>77</v>
      </c>
      <c r="E143" s="72">
        <v>57</v>
      </c>
      <c r="F143" s="72">
        <v>40</v>
      </c>
      <c r="G143" s="72">
        <v>32</v>
      </c>
    </row>
    <row r="144" spans="2:7" x14ac:dyDescent="0.25">
      <c r="B144" s="64" t="s">
        <v>281</v>
      </c>
      <c r="C144" s="64" t="s">
        <v>197</v>
      </c>
      <c r="D144" s="72">
        <v>77</v>
      </c>
      <c r="E144" s="72">
        <v>57</v>
      </c>
      <c r="F144" s="72">
        <v>40</v>
      </c>
      <c r="G144" s="72">
        <v>32</v>
      </c>
    </row>
    <row r="145" spans="2:7" x14ac:dyDescent="0.25">
      <c r="B145" s="64" t="s">
        <v>96</v>
      </c>
      <c r="C145" s="64" t="s">
        <v>197</v>
      </c>
      <c r="D145" s="72">
        <v>77</v>
      </c>
      <c r="E145" s="72">
        <v>57</v>
      </c>
      <c r="F145" s="72">
        <v>40</v>
      </c>
      <c r="G145" s="72">
        <v>32</v>
      </c>
    </row>
    <row r="146" spans="2:7" x14ac:dyDescent="0.25">
      <c r="B146" s="64" t="s">
        <v>135</v>
      </c>
      <c r="C146" s="64" t="s">
        <v>197</v>
      </c>
      <c r="D146" s="72">
        <v>108</v>
      </c>
      <c r="E146" s="72">
        <v>80</v>
      </c>
      <c r="F146" s="72">
        <v>57</v>
      </c>
      <c r="G146" s="72">
        <v>45</v>
      </c>
    </row>
    <row r="147" spans="2:7" x14ac:dyDescent="0.25">
      <c r="B147" s="64" t="s">
        <v>97</v>
      </c>
      <c r="C147" s="64" t="s">
        <v>197</v>
      </c>
      <c r="D147" s="72">
        <v>47</v>
      </c>
      <c r="E147" s="72">
        <v>33</v>
      </c>
      <c r="F147" s="72">
        <v>22</v>
      </c>
      <c r="G147" s="72">
        <v>17</v>
      </c>
    </row>
    <row r="148" spans="2:7" x14ac:dyDescent="0.25">
      <c r="B148" s="64" t="s">
        <v>181</v>
      </c>
      <c r="C148" s="64" t="s">
        <v>197</v>
      </c>
      <c r="D148" s="72">
        <v>77</v>
      </c>
      <c r="E148" s="72">
        <v>57</v>
      </c>
      <c r="F148" s="72">
        <v>40</v>
      </c>
      <c r="G148" s="72">
        <v>32</v>
      </c>
    </row>
    <row r="149" spans="2:7" x14ac:dyDescent="0.25">
      <c r="B149" s="64" t="s">
        <v>282</v>
      </c>
      <c r="C149" s="64" t="s">
        <v>197</v>
      </c>
      <c r="D149" s="72">
        <v>47</v>
      </c>
      <c r="E149" s="72">
        <v>33</v>
      </c>
      <c r="F149" s="72">
        <v>22</v>
      </c>
      <c r="G149" s="72">
        <v>17</v>
      </c>
    </row>
    <row r="150" spans="2:7" x14ac:dyDescent="0.25">
      <c r="B150" s="64" t="s">
        <v>283</v>
      </c>
      <c r="C150" s="64" t="s">
        <v>197</v>
      </c>
      <c r="D150" s="72">
        <v>108</v>
      </c>
      <c r="E150" s="72">
        <v>80</v>
      </c>
      <c r="F150" s="72">
        <v>57</v>
      </c>
      <c r="G150" s="72">
        <v>45</v>
      </c>
    </row>
    <row r="151" spans="2:7" x14ac:dyDescent="0.25">
      <c r="B151" s="64" t="s">
        <v>317</v>
      </c>
      <c r="C151" s="64" t="s">
        <v>197</v>
      </c>
      <c r="D151" s="72">
        <v>108</v>
      </c>
      <c r="E151" s="72">
        <v>80</v>
      </c>
      <c r="F151" s="72">
        <v>57</v>
      </c>
      <c r="G151" s="72">
        <v>45</v>
      </c>
    </row>
    <row r="152" spans="2:7" x14ac:dyDescent="0.25">
      <c r="B152" s="64" t="s">
        <v>284</v>
      </c>
      <c r="C152" s="64" t="s">
        <v>197</v>
      </c>
      <c r="D152" s="72">
        <v>108</v>
      </c>
      <c r="E152" s="72">
        <v>80</v>
      </c>
      <c r="F152" s="72">
        <v>57</v>
      </c>
      <c r="G152" s="72">
        <v>45</v>
      </c>
    </row>
    <row r="153" spans="2:7" x14ac:dyDescent="0.25">
      <c r="B153" s="64" t="s">
        <v>285</v>
      </c>
      <c r="C153" s="64" t="s">
        <v>197</v>
      </c>
      <c r="D153" s="72">
        <v>47</v>
      </c>
      <c r="E153" s="72">
        <v>33</v>
      </c>
      <c r="F153" s="72">
        <v>22</v>
      </c>
      <c r="G153" s="72">
        <v>17</v>
      </c>
    </row>
    <row r="154" spans="2:7" x14ac:dyDescent="0.25">
      <c r="B154" s="64" t="s">
        <v>286</v>
      </c>
      <c r="C154" s="64" t="s">
        <v>197</v>
      </c>
      <c r="D154" s="72">
        <v>108</v>
      </c>
      <c r="E154" s="72">
        <v>80</v>
      </c>
      <c r="F154" s="72">
        <v>57</v>
      </c>
      <c r="G154" s="72">
        <v>45</v>
      </c>
    </row>
    <row r="155" spans="2:7" x14ac:dyDescent="0.25">
      <c r="B155" s="64" t="s">
        <v>287</v>
      </c>
      <c r="C155" s="64" t="s">
        <v>197</v>
      </c>
      <c r="D155" s="72">
        <v>77</v>
      </c>
      <c r="E155" s="72">
        <v>57</v>
      </c>
      <c r="F155" s="72">
        <v>40</v>
      </c>
      <c r="G155" s="72">
        <v>32</v>
      </c>
    </row>
    <row r="156" spans="2:7" x14ac:dyDescent="0.25">
      <c r="B156" s="64" t="s">
        <v>288</v>
      </c>
      <c r="C156" s="64" t="s">
        <v>197</v>
      </c>
      <c r="D156" s="72">
        <v>108</v>
      </c>
      <c r="E156" s="72">
        <v>80</v>
      </c>
      <c r="F156" s="72">
        <v>57</v>
      </c>
      <c r="G156" s="72">
        <v>45</v>
      </c>
    </row>
    <row r="157" spans="2:7" x14ac:dyDescent="0.25">
      <c r="B157" s="64" t="s">
        <v>289</v>
      </c>
      <c r="C157" s="64" t="s">
        <v>197</v>
      </c>
      <c r="D157" s="72">
        <v>47</v>
      </c>
      <c r="E157" s="72">
        <v>33</v>
      </c>
      <c r="F157" s="72">
        <v>22</v>
      </c>
      <c r="G157" s="72">
        <v>17</v>
      </c>
    </row>
    <row r="158" spans="2:7" x14ac:dyDescent="0.25">
      <c r="B158" s="64" t="s">
        <v>322</v>
      </c>
      <c r="C158" s="64" t="s">
        <v>197</v>
      </c>
      <c r="D158" s="72">
        <v>47</v>
      </c>
      <c r="E158" s="72">
        <v>33</v>
      </c>
      <c r="F158" s="72">
        <v>22</v>
      </c>
      <c r="G158" s="72">
        <v>17</v>
      </c>
    </row>
    <row r="159" spans="2:7" x14ac:dyDescent="0.25">
      <c r="B159" s="64" t="s">
        <v>290</v>
      </c>
      <c r="C159" s="64" t="s">
        <v>197</v>
      </c>
      <c r="D159" s="72">
        <v>47</v>
      </c>
      <c r="E159" s="72">
        <v>33</v>
      </c>
      <c r="F159" s="72">
        <v>22</v>
      </c>
      <c r="G159" s="72">
        <v>17</v>
      </c>
    </row>
    <row r="160" spans="2:7" x14ac:dyDescent="0.25">
      <c r="B160" s="64" t="s">
        <v>99</v>
      </c>
      <c r="C160" s="64" t="s">
        <v>197</v>
      </c>
      <c r="D160" s="72">
        <v>77</v>
      </c>
      <c r="E160" s="72">
        <v>57</v>
      </c>
      <c r="F160" s="72">
        <v>40</v>
      </c>
      <c r="G160" s="72">
        <v>32</v>
      </c>
    </row>
    <row r="161" spans="2:7" x14ac:dyDescent="0.25">
      <c r="B161" s="64" t="s">
        <v>291</v>
      </c>
      <c r="C161" s="64" t="s">
        <v>197</v>
      </c>
      <c r="D161" s="72">
        <v>47</v>
      </c>
      <c r="E161" s="72">
        <v>33</v>
      </c>
      <c r="F161" s="72">
        <v>22</v>
      </c>
      <c r="G161" s="72">
        <v>17</v>
      </c>
    </row>
    <row r="162" spans="2:7" x14ac:dyDescent="0.25">
      <c r="B162" s="64" t="s">
        <v>309</v>
      </c>
      <c r="C162" s="64" t="s">
        <v>197</v>
      </c>
      <c r="D162" s="72">
        <v>47</v>
      </c>
      <c r="E162" s="72">
        <v>33</v>
      </c>
      <c r="F162" s="72">
        <v>22</v>
      </c>
      <c r="G162" s="72">
        <v>17</v>
      </c>
    </row>
    <row r="163" spans="2:7" x14ac:dyDescent="0.25">
      <c r="B163" s="64" t="s">
        <v>292</v>
      </c>
      <c r="C163" s="64" t="s">
        <v>197</v>
      </c>
      <c r="D163" s="72">
        <v>47</v>
      </c>
      <c r="E163" s="72">
        <v>33</v>
      </c>
      <c r="F163" s="72">
        <v>22</v>
      </c>
      <c r="G163" s="72">
        <v>17</v>
      </c>
    </row>
    <row r="164" spans="2:7" x14ac:dyDescent="0.25">
      <c r="B164" s="64" t="s">
        <v>323</v>
      </c>
      <c r="C164" s="64" t="s">
        <v>197</v>
      </c>
      <c r="D164" s="72">
        <v>77</v>
      </c>
      <c r="E164" s="72">
        <v>57</v>
      </c>
      <c r="F164" s="72">
        <v>40</v>
      </c>
      <c r="G164" s="72">
        <v>32</v>
      </c>
    </row>
    <row r="165" spans="2:7" x14ac:dyDescent="0.25">
      <c r="B165" s="64" t="s">
        <v>353</v>
      </c>
      <c r="C165" s="64" t="s">
        <v>197</v>
      </c>
      <c r="D165" s="72">
        <v>77</v>
      </c>
      <c r="E165" s="72">
        <v>57</v>
      </c>
      <c r="F165" s="72">
        <v>40</v>
      </c>
      <c r="G165" s="72">
        <v>32</v>
      </c>
    </row>
    <row r="166" spans="2:7" x14ac:dyDescent="0.25">
      <c r="B166" s="64" t="s">
        <v>100</v>
      </c>
      <c r="C166" s="64" t="s">
        <v>197</v>
      </c>
      <c r="D166" s="72">
        <v>47</v>
      </c>
      <c r="E166" s="72">
        <v>33</v>
      </c>
      <c r="F166" s="72">
        <v>22</v>
      </c>
      <c r="G166" s="72">
        <v>17</v>
      </c>
    </row>
    <row r="167" spans="2:7" x14ac:dyDescent="0.25">
      <c r="B167" s="64" t="s">
        <v>101</v>
      </c>
      <c r="C167" s="64" t="s">
        <v>197</v>
      </c>
      <c r="D167" s="72">
        <v>47</v>
      </c>
      <c r="E167" s="72">
        <v>33</v>
      </c>
      <c r="F167" s="72">
        <v>22</v>
      </c>
      <c r="G167" s="72">
        <v>17</v>
      </c>
    </row>
    <row r="168" spans="2:7" x14ac:dyDescent="0.25">
      <c r="B168" s="64" t="s">
        <v>293</v>
      </c>
      <c r="C168" s="64" t="s">
        <v>197</v>
      </c>
      <c r="D168" s="72">
        <v>47</v>
      </c>
      <c r="E168" s="72">
        <v>33</v>
      </c>
      <c r="F168" s="72">
        <v>22</v>
      </c>
      <c r="G168" s="72">
        <v>17</v>
      </c>
    </row>
    <row r="169" spans="2:7" x14ac:dyDescent="0.25">
      <c r="B169" s="64" t="s">
        <v>102</v>
      </c>
      <c r="C169" s="64" t="s">
        <v>197</v>
      </c>
      <c r="D169" s="72">
        <v>108</v>
      </c>
      <c r="E169" s="72">
        <v>80</v>
      </c>
      <c r="F169" s="72">
        <v>57</v>
      </c>
      <c r="G169" s="72">
        <v>45</v>
      </c>
    </row>
    <row r="170" spans="2:7" x14ac:dyDescent="0.25">
      <c r="B170" s="64" t="s">
        <v>327</v>
      </c>
      <c r="C170" s="64" t="s">
        <v>197</v>
      </c>
      <c r="D170" s="72">
        <v>47</v>
      </c>
      <c r="E170" s="72">
        <v>33</v>
      </c>
      <c r="F170" s="72">
        <v>22</v>
      </c>
      <c r="G170" s="72">
        <v>17</v>
      </c>
    </row>
    <row r="171" spans="2:7" x14ac:dyDescent="0.25">
      <c r="B171" s="64" t="s">
        <v>294</v>
      </c>
      <c r="C171" s="64" t="s">
        <v>197</v>
      </c>
      <c r="D171" s="72">
        <v>47</v>
      </c>
      <c r="E171" s="72">
        <v>33</v>
      </c>
      <c r="F171" s="72">
        <v>22</v>
      </c>
      <c r="G171" s="72">
        <v>17</v>
      </c>
    </row>
    <row r="172" spans="2:7" x14ac:dyDescent="0.25">
      <c r="B172" s="64" t="s">
        <v>295</v>
      </c>
      <c r="C172" s="64" t="s">
        <v>197</v>
      </c>
      <c r="D172" s="72">
        <v>47</v>
      </c>
      <c r="E172" s="72">
        <v>33</v>
      </c>
      <c r="F172" s="72">
        <v>22</v>
      </c>
      <c r="G172" s="72">
        <v>17</v>
      </c>
    </row>
    <row r="173" spans="2:7" x14ac:dyDescent="0.25">
      <c r="B173" s="64" t="s">
        <v>296</v>
      </c>
      <c r="C173" s="64" t="s">
        <v>197</v>
      </c>
      <c r="D173" s="72">
        <v>77</v>
      </c>
      <c r="E173" s="72">
        <v>57</v>
      </c>
      <c r="F173" s="72">
        <v>40</v>
      </c>
      <c r="G173" s="72">
        <v>32</v>
      </c>
    </row>
    <row r="174" spans="2:7" x14ac:dyDescent="0.25">
      <c r="B174" s="64" t="s">
        <v>103</v>
      </c>
      <c r="C174" s="64" t="s">
        <v>197</v>
      </c>
      <c r="D174" s="72">
        <v>47</v>
      </c>
      <c r="E174" s="72">
        <v>33</v>
      </c>
      <c r="F174" s="72">
        <v>22</v>
      </c>
      <c r="G174" s="72">
        <v>17</v>
      </c>
    </row>
    <row r="175" spans="2:7" x14ac:dyDescent="0.25">
      <c r="B175" s="64" t="s">
        <v>104</v>
      </c>
      <c r="C175" s="64" t="s">
        <v>197</v>
      </c>
      <c r="D175" s="72">
        <v>47</v>
      </c>
      <c r="E175" s="72">
        <v>33</v>
      </c>
      <c r="F175" s="72">
        <v>22</v>
      </c>
      <c r="G175" s="72">
        <v>17</v>
      </c>
    </row>
    <row r="176" spans="2:7" x14ac:dyDescent="0.25">
      <c r="B176" s="64" t="s">
        <v>297</v>
      </c>
      <c r="C176" s="64" t="s">
        <v>197</v>
      </c>
      <c r="D176" s="72">
        <v>47</v>
      </c>
      <c r="E176" s="72">
        <v>33</v>
      </c>
      <c r="F176" s="72">
        <v>22</v>
      </c>
      <c r="G176" s="72">
        <v>17</v>
      </c>
    </row>
    <row r="177" spans="2:7" x14ac:dyDescent="0.25">
      <c r="B177" s="64" t="s">
        <v>298</v>
      </c>
      <c r="C177" s="64" t="s">
        <v>197</v>
      </c>
      <c r="D177" s="72">
        <v>47</v>
      </c>
      <c r="E177" s="72">
        <v>33</v>
      </c>
      <c r="F177" s="72">
        <v>22</v>
      </c>
      <c r="G177" s="72">
        <v>17</v>
      </c>
    </row>
    <row r="178" spans="2:7" x14ac:dyDescent="0.25">
      <c r="B178" s="64" t="s">
        <v>180</v>
      </c>
      <c r="C178" s="64" t="s">
        <v>197</v>
      </c>
      <c r="D178" s="72">
        <v>108</v>
      </c>
      <c r="E178" s="72">
        <v>80</v>
      </c>
      <c r="F178" s="72">
        <v>57</v>
      </c>
      <c r="G178" s="72">
        <v>45</v>
      </c>
    </row>
    <row r="179" spans="2:7" x14ac:dyDescent="0.25">
      <c r="B179" s="64" t="s">
        <v>350</v>
      </c>
      <c r="C179" s="64" t="s">
        <v>197</v>
      </c>
      <c r="D179" s="72">
        <v>108</v>
      </c>
      <c r="E179" s="72">
        <v>80</v>
      </c>
      <c r="F179" s="72">
        <v>57</v>
      </c>
      <c r="G179" s="72">
        <v>45</v>
      </c>
    </row>
    <row r="180" spans="2:7" x14ac:dyDescent="0.25">
      <c r="B180" s="64" t="s">
        <v>105</v>
      </c>
      <c r="C180" s="64" t="s">
        <v>197</v>
      </c>
      <c r="D180" s="72">
        <v>47</v>
      </c>
      <c r="E180" s="72">
        <v>33</v>
      </c>
      <c r="F180" s="72">
        <v>22</v>
      </c>
      <c r="G180" s="72">
        <v>17</v>
      </c>
    </row>
    <row r="181" spans="2:7" x14ac:dyDescent="0.25">
      <c r="B181" s="64" t="s">
        <v>299</v>
      </c>
      <c r="C181" s="64" t="s">
        <v>197</v>
      </c>
      <c r="D181" s="72">
        <v>77</v>
      </c>
      <c r="E181" s="72">
        <v>57</v>
      </c>
      <c r="F181" s="72">
        <v>40</v>
      </c>
      <c r="G181" s="72">
        <v>32</v>
      </c>
    </row>
    <row r="182" spans="2:7" x14ac:dyDescent="0.25">
      <c r="B182" s="64" t="s">
        <v>106</v>
      </c>
      <c r="C182" s="64" t="s">
        <v>197</v>
      </c>
      <c r="D182" s="72">
        <v>108</v>
      </c>
      <c r="E182" s="72">
        <v>80</v>
      </c>
      <c r="F182" s="72">
        <v>57</v>
      </c>
      <c r="G182" s="72">
        <v>45</v>
      </c>
    </row>
    <row r="183" spans="2:7" x14ac:dyDescent="0.25">
      <c r="B183" s="64" t="s">
        <v>107</v>
      </c>
      <c r="C183" s="64" t="s">
        <v>197</v>
      </c>
      <c r="D183" s="72">
        <v>47</v>
      </c>
      <c r="E183" s="72">
        <v>33</v>
      </c>
      <c r="F183" s="72">
        <v>22</v>
      </c>
      <c r="G183" s="72">
        <v>17</v>
      </c>
    </row>
    <row r="184" spans="2:7" x14ac:dyDescent="0.25">
      <c r="B184" s="64" t="s">
        <v>108</v>
      </c>
      <c r="C184" s="64" t="s">
        <v>197</v>
      </c>
      <c r="D184" s="72">
        <v>47</v>
      </c>
      <c r="E184" s="72">
        <v>33</v>
      </c>
      <c r="F184" s="72">
        <v>22</v>
      </c>
      <c r="G184" s="72">
        <v>17</v>
      </c>
    </row>
    <row r="185" spans="2:7" x14ac:dyDescent="0.25">
      <c r="B185" s="64" t="s">
        <v>300</v>
      </c>
      <c r="C185" s="64" t="s">
        <v>197</v>
      </c>
      <c r="D185" s="72">
        <v>108</v>
      </c>
      <c r="E185" s="72">
        <v>80</v>
      </c>
      <c r="F185" s="72">
        <v>57</v>
      </c>
      <c r="G185" s="72">
        <v>45</v>
      </c>
    </row>
    <row r="186" spans="2:7" x14ac:dyDescent="0.25">
      <c r="B186" s="64" t="s">
        <v>301</v>
      </c>
      <c r="C186" s="64" t="s">
        <v>197</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2023-06-29T10:56:26Z</dcterms:modified>
</cp:coreProperties>
</file>